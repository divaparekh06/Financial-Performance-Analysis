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llege\PowerBI\"/>
    </mc:Choice>
  </mc:AlternateContent>
  <xr:revisionPtr revIDLastSave="0" documentId="13_ncr:1_{B6F05695-AF1C-4D65-8465-341DABC4102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6" r:id="rId1"/>
    <sheet name="Data Audit" sheetId="7" r:id="rId2"/>
    <sheet name="Financial Consistency" sheetId="8" r:id="rId3"/>
    <sheet name="Grain_Audit" sheetId="9" r:id="rId4"/>
  </sheets>
  <definedNames>
    <definedName name="_xlnm._FilterDatabase" localSheetId="2" hidden="1">'Financial Consistency'!$A$1:$D$701</definedName>
    <definedName name="_xlnm._FilterDatabase" localSheetId="3" hidden="1">Grain_Audit!$F$1:$G$2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9" l="1"/>
  <c r="K1" i="9"/>
  <c r="G27" i="9"/>
  <c r="G26" i="9"/>
  <c r="G25" i="9"/>
  <c r="G4" i="9" a="1"/>
  <c r="G4" i="9" s="1"/>
  <c r="G2" i="9"/>
  <c r="G1" i="9"/>
  <c r="A11" i="9" a="1"/>
  <c r="A11" i="9" s="1"/>
  <c r="B7" i="9" a="1"/>
  <c r="B7" i="9" s="1"/>
  <c r="B6" i="9" a="1"/>
  <c r="B6" i="9" s="1"/>
  <c r="B5" i="9" a="1"/>
  <c r="B5" i="9" s="1"/>
  <c r="B4" i="9" a="1"/>
  <c r="B4" i="9" s="1"/>
  <c r="B3" i="9"/>
  <c r="B2" i="9"/>
  <c r="D3" i="8" a="1"/>
  <c r="D3" i="8"/>
  <c r="D4" i="8" a="1"/>
  <c r="D4" i="8" s="1"/>
  <c r="D5" i="8" a="1"/>
  <c r="D5" i="8" s="1"/>
  <c r="D6" i="8" a="1"/>
  <c r="D6" i="8"/>
  <c r="D7" i="8" a="1"/>
  <c r="D7" i="8"/>
  <c r="D8" i="8" a="1"/>
  <c r="D8" i="8"/>
  <c r="D9" i="8" a="1"/>
  <c r="D9" i="8"/>
  <c r="D10" i="8" a="1"/>
  <c r="D10" i="8"/>
  <c r="D11" i="8" a="1"/>
  <c r="D11" i="8"/>
  <c r="D12" i="8" a="1"/>
  <c r="D12" i="8" s="1"/>
  <c r="D13" i="8" a="1"/>
  <c r="D13" i="8" s="1"/>
  <c r="D14" i="8" a="1"/>
  <c r="D14" i="8"/>
  <c r="D15" i="8" a="1"/>
  <c r="D15" i="8"/>
  <c r="D16" i="8" a="1"/>
  <c r="D16" i="8"/>
  <c r="D17" i="8" a="1"/>
  <c r="D17" i="8"/>
  <c r="D18" i="8" a="1"/>
  <c r="D18" i="8"/>
  <c r="D19" i="8" a="1"/>
  <c r="D19" i="8"/>
  <c r="D20" i="8" a="1"/>
  <c r="D20" i="8" s="1"/>
  <c r="D21" i="8" a="1"/>
  <c r="D21" i="8" s="1"/>
  <c r="D22" i="8" a="1"/>
  <c r="D22" i="8"/>
  <c r="D23" i="8" a="1"/>
  <c r="D23" i="8"/>
  <c r="D24" i="8" a="1"/>
  <c r="D24" i="8"/>
  <c r="D25" i="8" a="1"/>
  <c r="D25" i="8"/>
  <c r="D26" i="8" a="1"/>
  <c r="D26" i="8"/>
  <c r="D27" i="8" a="1"/>
  <c r="D27" i="8"/>
  <c r="D28" i="8" a="1"/>
  <c r="D28" i="8" s="1"/>
  <c r="D29" i="8" a="1"/>
  <c r="D29" i="8" s="1"/>
  <c r="D30" i="8" a="1"/>
  <c r="D30" i="8"/>
  <c r="D31" i="8" a="1"/>
  <c r="D31" i="8" s="1"/>
  <c r="D32" i="8" a="1"/>
  <c r="D32" i="8"/>
  <c r="D33" i="8" a="1"/>
  <c r="D33" i="8"/>
  <c r="D34" i="8" a="1"/>
  <c r="D34" i="8"/>
  <c r="D35" i="8" a="1"/>
  <c r="D35" i="8"/>
  <c r="D36" i="8" a="1"/>
  <c r="D36" i="8" s="1"/>
  <c r="D37" i="8" a="1"/>
  <c r="D37" i="8" s="1"/>
  <c r="D38" i="8" a="1"/>
  <c r="D38" i="8"/>
  <c r="D39" i="8" a="1"/>
  <c r="D39" i="8"/>
  <c r="D40" i="8" a="1"/>
  <c r="D40" i="8" s="1"/>
  <c r="D41" i="8" a="1"/>
  <c r="D41" i="8"/>
  <c r="D42" i="8" a="1"/>
  <c r="D42" i="8"/>
  <c r="D43" i="8" a="1"/>
  <c r="D43" i="8"/>
  <c r="D44" i="8" a="1"/>
  <c r="D44" i="8" s="1"/>
  <c r="D45" i="8" a="1"/>
  <c r="D45" i="8" s="1"/>
  <c r="D46" i="8" a="1"/>
  <c r="D46" i="8"/>
  <c r="D47" i="8" a="1"/>
  <c r="D47" i="8"/>
  <c r="D48" i="8" a="1"/>
  <c r="D48" i="8"/>
  <c r="D49" i="8" a="1"/>
  <c r="D49" i="8" s="1"/>
  <c r="D50" i="8" a="1"/>
  <c r="D50" i="8"/>
  <c r="D51" i="8" a="1"/>
  <c r="D51" i="8"/>
  <c r="D52" i="8" a="1"/>
  <c r="D52" i="8" s="1"/>
  <c r="D53" i="8" a="1"/>
  <c r="D53" i="8" s="1"/>
  <c r="D54" i="8" a="1"/>
  <c r="D54" i="8"/>
  <c r="D55" i="8" a="1"/>
  <c r="D55" i="8"/>
  <c r="D56" i="8" a="1"/>
  <c r="D56" i="8"/>
  <c r="D57" i="8" a="1"/>
  <c r="D57" i="8"/>
  <c r="D58" i="8" a="1"/>
  <c r="D58" i="8" s="1"/>
  <c r="D59" i="8" a="1"/>
  <c r="D59" i="8"/>
  <c r="D60" i="8" a="1"/>
  <c r="D60" i="8" s="1"/>
  <c r="D61" i="8" a="1"/>
  <c r="D61" i="8" s="1"/>
  <c r="D62" i="8" a="1"/>
  <c r="D62" i="8"/>
  <c r="D63" i="8" a="1"/>
  <c r="D63" i="8"/>
  <c r="D64" i="8" a="1"/>
  <c r="D64" i="8"/>
  <c r="D65" i="8" a="1"/>
  <c r="D65" i="8"/>
  <c r="D66" i="8" a="1"/>
  <c r="D66" i="8"/>
  <c r="D67" i="8" a="1"/>
  <c r="D67" i="8"/>
  <c r="D68" i="8" a="1"/>
  <c r="D68" i="8" s="1"/>
  <c r="D69" i="8" a="1"/>
  <c r="D69" i="8" s="1"/>
  <c r="D70" i="8" a="1"/>
  <c r="D70" i="8"/>
  <c r="D71" i="8" a="1"/>
  <c r="D71" i="8"/>
  <c r="D72" i="8" a="1"/>
  <c r="D72" i="8"/>
  <c r="D73" i="8" a="1"/>
  <c r="D73" i="8"/>
  <c r="D74" i="8" a="1"/>
  <c r="D74" i="8"/>
  <c r="D75" i="8" a="1"/>
  <c r="D75" i="8" s="1"/>
  <c r="D76" i="8" a="1"/>
  <c r="D76" i="8" s="1"/>
  <c r="D77" i="8" a="1"/>
  <c r="D77" i="8" s="1"/>
  <c r="D78" i="8" a="1"/>
  <c r="D78" i="8"/>
  <c r="D79" i="8" a="1"/>
  <c r="D79" i="8"/>
  <c r="D80" i="8" a="1"/>
  <c r="D80" i="8"/>
  <c r="D81" i="8" a="1"/>
  <c r="D81" i="8"/>
  <c r="D82" i="8" a="1"/>
  <c r="D82" i="8"/>
  <c r="D83" i="8" a="1"/>
  <c r="D83" i="8" s="1"/>
  <c r="D84" i="8" a="1"/>
  <c r="D84" i="8" s="1"/>
  <c r="D85" i="8" a="1"/>
  <c r="D85" i="8" s="1"/>
  <c r="D86" i="8" a="1"/>
  <c r="D86" i="8"/>
  <c r="D87" i="8" a="1"/>
  <c r="D87" i="8" s="1"/>
  <c r="D88" i="8" a="1"/>
  <c r="D88" i="8"/>
  <c r="D89" i="8" a="1"/>
  <c r="D89" i="8"/>
  <c r="D90" i="8" a="1"/>
  <c r="D90" i="8"/>
  <c r="D91" i="8" a="1"/>
  <c r="D91" i="8" s="1"/>
  <c r="D92" i="8" a="1"/>
  <c r="D92" i="8" s="1"/>
  <c r="D93" i="8" a="1"/>
  <c r="D93" i="8" s="1"/>
  <c r="D94" i="8" a="1"/>
  <c r="D94" i="8"/>
  <c r="D95" i="8" a="1"/>
  <c r="D95" i="8"/>
  <c r="D96" i="8" a="1"/>
  <c r="D96" i="8" s="1"/>
  <c r="D97" i="8" a="1"/>
  <c r="D97" i="8"/>
  <c r="D98" i="8" a="1"/>
  <c r="D98" i="8"/>
  <c r="D99" i="8" a="1"/>
  <c r="D99" i="8" s="1"/>
  <c r="D100" i="8" a="1"/>
  <c r="D100" i="8" s="1"/>
  <c r="D101" i="8" a="1"/>
  <c r="D101" i="8" s="1"/>
  <c r="D102" i="8" a="1"/>
  <c r="D102" i="8"/>
  <c r="D103" i="8" a="1"/>
  <c r="D103" i="8"/>
  <c r="D104" i="8" a="1"/>
  <c r="D104" i="8"/>
  <c r="D105" i="8" a="1"/>
  <c r="D105" i="8"/>
  <c r="D106" i="8" a="1"/>
  <c r="D106" i="8" s="1"/>
  <c r="D107" i="8" a="1"/>
  <c r="D107" i="8" s="1"/>
  <c r="D108" i="8" a="1"/>
  <c r="D108" i="8" s="1"/>
  <c r="D109" i="8" a="1"/>
  <c r="D109" i="8" s="1"/>
  <c r="D110" i="8" a="1"/>
  <c r="D110" i="8"/>
  <c r="D111" i="8" a="1"/>
  <c r="D111" i="8"/>
  <c r="D112" i="8" a="1"/>
  <c r="D112" i="8"/>
  <c r="D113" i="8" a="1"/>
  <c r="D113" i="8"/>
  <c r="D114" i="8" a="1"/>
  <c r="D114" i="8"/>
  <c r="D115" i="8" a="1"/>
  <c r="D115" i="8" s="1"/>
  <c r="D116" i="8" a="1"/>
  <c r="D116" i="8" s="1"/>
  <c r="D117" i="8" a="1"/>
  <c r="D117" i="8" s="1"/>
  <c r="D118" i="8" a="1"/>
  <c r="D118" i="8"/>
  <c r="D119" i="8" a="1"/>
  <c r="D119" i="8"/>
  <c r="D120" i="8" a="1"/>
  <c r="D120" i="8"/>
  <c r="D121" i="8" a="1"/>
  <c r="D121" i="8"/>
  <c r="D122" i="8" a="1"/>
  <c r="D122" i="8"/>
  <c r="D123" i="8" a="1"/>
  <c r="D123" i="8" s="1"/>
  <c r="D124" i="8" a="1"/>
  <c r="D124" i="8"/>
  <c r="D125" i="8" a="1"/>
  <c r="D125" i="8" s="1"/>
  <c r="D126" i="8" a="1"/>
  <c r="D126" i="8" s="1"/>
  <c r="D127" i="8" a="1"/>
  <c r="D127" i="8"/>
  <c r="D128" i="8" a="1"/>
  <c r="D128" i="8"/>
  <c r="D129" i="8" a="1"/>
  <c r="D129" i="8"/>
  <c r="D130" i="8" a="1"/>
  <c r="D130" i="8"/>
  <c r="D131" i="8" a="1"/>
  <c r="D131" i="8" s="1"/>
  <c r="D132" i="8" a="1"/>
  <c r="D132" i="8"/>
  <c r="D133" i="8" a="1"/>
  <c r="D133" i="8" s="1"/>
  <c r="D134" i="8" a="1"/>
  <c r="D134" i="8"/>
  <c r="D135" i="8" a="1"/>
  <c r="D135" i="8" s="1"/>
  <c r="D136" i="8" a="1"/>
  <c r="D136" i="8"/>
  <c r="D137" i="8" a="1"/>
  <c r="D137" i="8"/>
  <c r="D138" i="8" a="1"/>
  <c r="D138" i="8"/>
  <c r="D139" i="8" a="1"/>
  <c r="D139" i="8" s="1"/>
  <c r="D140" i="8" a="1"/>
  <c r="D140" i="8"/>
  <c r="D141" i="8" a="1"/>
  <c r="D141" i="8" s="1"/>
  <c r="D142" i="8" a="1"/>
  <c r="D142" i="8"/>
  <c r="D143" i="8" a="1"/>
  <c r="D143" i="8"/>
  <c r="D144" i="8" a="1"/>
  <c r="D144" i="8" s="1"/>
  <c r="D145" i="8" a="1"/>
  <c r="D145" i="8"/>
  <c r="D146" i="8" a="1"/>
  <c r="D146" i="8"/>
  <c r="D147" i="8" a="1"/>
  <c r="D147" i="8" s="1"/>
  <c r="D148" i="8" a="1"/>
  <c r="D148" i="8"/>
  <c r="D149" i="8" a="1"/>
  <c r="D149" i="8" s="1"/>
  <c r="D150" i="8" a="1"/>
  <c r="D150" i="8"/>
  <c r="D151" i="8" a="1"/>
  <c r="D151" i="8"/>
  <c r="D152" i="8" a="1"/>
  <c r="D152" i="8"/>
  <c r="D153" i="8" a="1"/>
  <c r="D153" i="8" s="1"/>
  <c r="D154" i="8" a="1"/>
  <c r="D154" i="8"/>
  <c r="D155" i="8" a="1"/>
  <c r="D155" i="8" s="1"/>
  <c r="D156" i="8" a="1"/>
  <c r="D156" i="8"/>
  <c r="D157" i="8" a="1"/>
  <c r="D157" i="8" s="1"/>
  <c r="D158" i="8" a="1"/>
  <c r="D158" i="8"/>
  <c r="D159" i="8" a="1"/>
  <c r="D159" i="8"/>
  <c r="D160" i="8" a="1"/>
  <c r="D160" i="8"/>
  <c r="D161" i="8" a="1"/>
  <c r="D161" i="8"/>
  <c r="D162" i="8" a="1"/>
  <c r="D162" i="8" s="1"/>
  <c r="D163" i="8" a="1"/>
  <c r="D163" i="8" s="1"/>
  <c r="D164" i="8" a="1"/>
  <c r="D164" i="8"/>
  <c r="D165" i="8" a="1"/>
  <c r="D165" i="8" s="1"/>
  <c r="D166" i="8" a="1"/>
  <c r="D166" i="8"/>
  <c r="D167" i="8" a="1"/>
  <c r="D167" i="8"/>
  <c r="D168" i="8" a="1"/>
  <c r="D168" i="8"/>
  <c r="D169" i="8" a="1"/>
  <c r="D169" i="8"/>
  <c r="D170" i="8" a="1"/>
  <c r="D170" i="8"/>
  <c r="D171" i="8" a="1"/>
  <c r="D171" i="8" s="1"/>
  <c r="D172" i="8" a="1"/>
  <c r="D172" i="8"/>
  <c r="D173" i="8" a="1"/>
  <c r="D173" i="8" s="1"/>
  <c r="D174" i="8" a="1"/>
  <c r="D174" i="8"/>
  <c r="D175" i="8" a="1"/>
  <c r="D175" i="8"/>
  <c r="D176" i="8" a="1"/>
  <c r="D176" i="8"/>
  <c r="D177" i="8" a="1"/>
  <c r="D177" i="8"/>
  <c r="D178" i="8" a="1"/>
  <c r="D178" i="8"/>
  <c r="D179" i="8" a="1"/>
  <c r="D179" i="8" s="1"/>
  <c r="D180" i="8" a="1"/>
  <c r="D180" i="8" s="1"/>
  <c r="D181" i="8" a="1"/>
  <c r="D181" i="8" s="1"/>
  <c r="D182" i="8" a="1"/>
  <c r="D182" i="8"/>
  <c r="D183" i="8" a="1"/>
  <c r="D183" i="8"/>
  <c r="D184" i="8" a="1"/>
  <c r="D184" i="8"/>
  <c r="D185" i="8" a="1"/>
  <c r="D185" i="8"/>
  <c r="D186" i="8" a="1"/>
  <c r="D186" i="8"/>
  <c r="D187" i="8" a="1"/>
  <c r="D187" i="8" s="1"/>
  <c r="D188" i="8" a="1"/>
  <c r="D188" i="8"/>
  <c r="D189" i="8" a="1"/>
  <c r="D189" i="8" s="1"/>
  <c r="D190" i="8" a="1"/>
  <c r="D190" i="8" s="1"/>
  <c r="D191" i="8" a="1"/>
  <c r="D191" i="8" s="1"/>
  <c r="D192" i="8" a="1"/>
  <c r="D192" i="8"/>
  <c r="D193" i="8" a="1"/>
  <c r="D193" i="8"/>
  <c r="D194" i="8" a="1"/>
  <c r="D194" i="8"/>
  <c r="D195" i="8" a="1"/>
  <c r="D195" i="8" s="1"/>
  <c r="D196" i="8" a="1"/>
  <c r="D196" i="8"/>
  <c r="D197" i="8" a="1"/>
  <c r="D197" i="8" s="1"/>
  <c r="D198" i="8" a="1"/>
  <c r="D198" i="8"/>
  <c r="D199" i="8" a="1"/>
  <c r="D199" i="8" s="1"/>
  <c r="D200" i="8" a="1"/>
  <c r="D200" i="8" s="1"/>
  <c r="D201" i="8" a="1"/>
  <c r="D201" i="8"/>
  <c r="D202" i="8" a="1"/>
  <c r="D202" i="8"/>
  <c r="D203" i="8" a="1"/>
  <c r="D203" i="8" s="1"/>
  <c r="D204" i="8" a="1"/>
  <c r="D204" i="8"/>
  <c r="D205" i="8" a="1"/>
  <c r="D205" i="8" s="1"/>
  <c r="D206" i="8" a="1"/>
  <c r="D206" i="8"/>
  <c r="D207" i="8" a="1"/>
  <c r="D207" i="8"/>
  <c r="D208" i="8" a="1"/>
  <c r="D208" i="8" s="1"/>
  <c r="D209" i="8" a="1"/>
  <c r="D209" i="8" s="1"/>
  <c r="D210" i="8" a="1"/>
  <c r="D210" i="8"/>
  <c r="D211" i="8" a="1"/>
  <c r="D211" i="8" s="1"/>
  <c r="D212" i="8" a="1"/>
  <c r="D212" i="8"/>
  <c r="D213" i="8" a="1"/>
  <c r="D213" i="8" s="1"/>
  <c r="D214" i="8" a="1"/>
  <c r="D214" i="8"/>
  <c r="D215" i="8" a="1"/>
  <c r="D215" i="8"/>
  <c r="D216" i="8" a="1"/>
  <c r="D216" i="8"/>
  <c r="D217" i="8" a="1"/>
  <c r="D217" i="8" s="1"/>
  <c r="D218" i="8" a="1"/>
  <c r="D218" i="8" s="1"/>
  <c r="D219" i="8" a="1"/>
  <c r="D219" i="8" s="1"/>
  <c r="D220" i="8" a="1"/>
  <c r="D220" i="8"/>
  <c r="D221" i="8" a="1"/>
  <c r="D221" i="8" s="1"/>
  <c r="D222" i="8" a="1"/>
  <c r="D222" i="8"/>
  <c r="D223" i="8" a="1"/>
  <c r="D223" i="8"/>
  <c r="D224" i="8" a="1"/>
  <c r="D224" i="8"/>
  <c r="D225" i="8" a="1"/>
  <c r="D225" i="8"/>
  <c r="D226" i="8" a="1"/>
  <c r="D226" i="8" s="1"/>
  <c r="D227" i="8" a="1"/>
  <c r="D227" i="8" s="1"/>
  <c r="D228" i="8" a="1"/>
  <c r="D228" i="8"/>
  <c r="D229" i="8" a="1"/>
  <c r="D229" i="8" s="1"/>
  <c r="D230" i="8" a="1"/>
  <c r="D230" i="8"/>
  <c r="D231" i="8" a="1"/>
  <c r="D231" i="8"/>
  <c r="D232" i="8" a="1"/>
  <c r="D232" i="8"/>
  <c r="D233" i="8" a="1"/>
  <c r="D233" i="8"/>
  <c r="D234" i="8" a="1"/>
  <c r="D234" i="8"/>
  <c r="D235" i="8" a="1"/>
  <c r="D235" i="8" s="1"/>
  <c r="D236" i="8" a="1"/>
  <c r="D236" i="8"/>
  <c r="D237" i="8" a="1"/>
  <c r="D237" i="8" s="1"/>
  <c r="D238" i="8" a="1"/>
  <c r="D238" i="8"/>
  <c r="D239" i="8" a="1"/>
  <c r="D239" i="8"/>
  <c r="D240" i="8" a="1"/>
  <c r="D240" i="8"/>
  <c r="D241" i="8" a="1"/>
  <c r="D241" i="8"/>
  <c r="D242" i="8" a="1"/>
  <c r="D242" i="8"/>
  <c r="D243" i="8" a="1"/>
  <c r="D243" i="8" s="1"/>
  <c r="D244" i="8" a="1"/>
  <c r="D244" i="8" s="1"/>
  <c r="D245" i="8" a="1"/>
  <c r="D245" i="8" s="1"/>
  <c r="D246" i="8" a="1"/>
  <c r="D246" i="8" s="1"/>
  <c r="D247" i="8" a="1"/>
  <c r="D247" i="8"/>
  <c r="D248" i="8" a="1"/>
  <c r="D248" i="8"/>
  <c r="D249" i="8" a="1"/>
  <c r="D249" i="8"/>
  <c r="D250" i="8" a="1"/>
  <c r="D250" i="8"/>
  <c r="D251" i="8" a="1"/>
  <c r="D251" i="8" s="1"/>
  <c r="D252" i="8" a="1"/>
  <c r="D252" i="8"/>
  <c r="D253" i="8" a="1"/>
  <c r="D253" i="8" s="1"/>
  <c r="D254" i="8" a="1"/>
  <c r="D254" i="8" s="1"/>
  <c r="D255" i="8" a="1"/>
  <c r="D255" i="8" s="1"/>
  <c r="D256" i="8" a="1"/>
  <c r="D256" i="8"/>
  <c r="D257" i="8" a="1"/>
  <c r="D257" i="8"/>
  <c r="D258" i="8" a="1"/>
  <c r="D258" i="8"/>
  <c r="D259" i="8" a="1"/>
  <c r="D259" i="8" s="1"/>
  <c r="D260" i="8" a="1"/>
  <c r="D260" i="8"/>
  <c r="D261" i="8" a="1"/>
  <c r="D261" i="8" s="1"/>
  <c r="D262" i="8" a="1"/>
  <c r="D262" i="8"/>
  <c r="D263" i="8" a="1"/>
  <c r="D263" i="8" s="1"/>
  <c r="D264" i="8" a="1"/>
  <c r="D264" i="8" s="1"/>
  <c r="D265" i="8" a="1"/>
  <c r="D265" i="8"/>
  <c r="D266" i="8" a="1"/>
  <c r="D266" i="8"/>
  <c r="D267" i="8" a="1"/>
  <c r="D267" i="8" s="1"/>
  <c r="D268" i="8" a="1"/>
  <c r="D268" i="8"/>
  <c r="D269" i="8" a="1"/>
  <c r="D269" i="8" s="1"/>
  <c r="D270" i="8" a="1"/>
  <c r="D270" i="8"/>
  <c r="D271" i="8" a="1"/>
  <c r="D271" i="8"/>
  <c r="D272" i="8" a="1"/>
  <c r="D272" i="8" s="1"/>
  <c r="D273" i="8" a="1"/>
  <c r="D273" i="8" s="1"/>
  <c r="D274" i="8" a="1"/>
  <c r="D274" i="8"/>
  <c r="D275" i="8" a="1"/>
  <c r="D275" i="8" s="1"/>
  <c r="D276" i="8" a="1"/>
  <c r="D276" i="8"/>
  <c r="D277" i="8" a="1"/>
  <c r="D277" i="8" s="1"/>
  <c r="D278" i="8" a="1"/>
  <c r="D278" i="8"/>
  <c r="D279" i="8" a="1"/>
  <c r="D279" i="8"/>
  <c r="D280" i="8" a="1"/>
  <c r="D280" i="8"/>
  <c r="D281" i="8" a="1"/>
  <c r="D281" i="8" s="1"/>
  <c r="D282" i="8" a="1"/>
  <c r="D282" i="8" s="1"/>
  <c r="D283" i="8" a="1"/>
  <c r="D283" i="8" s="1"/>
  <c r="D284" i="8" a="1"/>
  <c r="D284" i="8"/>
  <c r="D285" i="8" a="1"/>
  <c r="D285" i="8" s="1"/>
  <c r="D286" i="8" a="1"/>
  <c r="D286" i="8"/>
  <c r="D287" i="8" a="1"/>
  <c r="D287" i="8"/>
  <c r="D288" i="8" a="1"/>
  <c r="D288" i="8"/>
  <c r="D289" i="8" a="1"/>
  <c r="D289" i="8"/>
  <c r="D290" i="8" a="1"/>
  <c r="D290" i="8" s="1"/>
  <c r="D291" i="8" a="1"/>
  <c r="D291" i="8" s="1"/>
  <c r="D292" i="8" a="1"/>
  <c r="D292" i="8"/>
  <c r="D293" i="8" a="1"/>
  <c r="D293" i="8" s="1"/>
  <c r="D294" i="8" a="1"/>
  <c r="D294" i="8"/>
  <c r="D295" i="8" a="1"/>
  <c r="D295" i="8"/>
  <c r="D296" i="8" a="1"/>
  <c r="D296" i="8"/>
  <c r="D297" i="8" a="1"/>
  <c r="D297" i="8"/>
  <c r="D298" i="8" a="1"/>
  <c r="D298" i="8"/>
  <c r="D299" i="8" a="1"/>
  <c r="D299" i="8" s="1"/>
  <c r="D300" i="8" a="1"/>
  <c r="D300" i="8"/>
  <c r="D301" i="8" a="1"/>
  <c r="D301" i="8" s="1"/>
  <c r="D302" i="8" a="1"/>
  <c r="D302" i="8"/>
  <c r="D303" i="8" a="1"/>
  <c r="D303" i="8"/>
  <c r="D304" i="8" a="1"/>
  <c r="D304" i="8"/>
  <c r="D305" i="8" a="1"/>
  <c r="D305" i="8"/>
  <c r="D306" i="8" a="1"/>
  <c r="D306" i="8"/>
  <c r="D307" i="8" a="1"/>
  <c r="D307" i="8" s="1"/>
  <c r="D308" i="8" a="1"/>
  <c r="D308" i="8" s="1"/>
  <c r="D309" i="8" a="1"/>
  <c r="D309" i="8" s="1"/>
  <c r="D310" i="8" a="1"/>
  <c r="D310" i="8" s="1"/>
  <c r="D311" i="8" a="1"/>
  <c r="D311" i="8"/>
  <c r="D312" i="8" a="1"/>
  <c r="D312" i="8"/>
  <c r="D313" i="8" a="1"/>
  <c r="D313" i="8"/>
  <c r="D314" i="8" a="1"/>
  <c r="D314" i="8"/>
  <c r="D315" i="8" a="1"/>
  <c r="D315" i="8" s="1"/>
  <c r="D316" i="8" a="1"/>
  <c r="D316" i="8"/>
  <c r="D317" i="8" a="1"/>
  <c r="D317" i="8" s="1"/>
  <c r="D318" i="8" a="1"/>
  <c r="D318" i="8" s="1"/>
  <c r="D319" i="8" a="1"/>
  <c r="D319" i="8" s="1"/>
  <c r="D320" i="8" a="1"/>
  <c r="D320" i="8"/>
  <c r="D321" i="8" a="1"/>
  <c r="D321" i="8"/>
  <c r="D322" i="8" a="1"/>
  <c r="D322" i="8"/>
  <c r="D323" i="8" a="1"/>
  <c r="D323" i="8" s="1"/>
  <c r="D324" i="8" a="1"/>
  <c r="D324" i="8"/>
  <c r="D325" i="8" a="1"/>
  <c r="D325" i="8" s="1"/>
  <c r="D326" i="8" a="1"/>
  <c r="D326" i="8"/>
  <c r="D327" i="8" a="1"/>
  <c r="D327" i="8" s="1"/>
  <c r="D328" i="8" a="1"/>
  <c r="D328" i="8" s="1"/>
  <c r="D329" i="8" a="1"/>
  <c r="D329" i="8"/>
  <c r="D330" i="8" a="1"/>
  <c r="D330" i="8"/>
  <c r="D331" i="8" a="1"/>
  <c r="D331" i="8" s="1"/>
  <c r="D332" i="8" a="1"/>
  <c r="D332" i="8"/>
  <c r="D333" i="8" a="1"/>
  <c r="D333" i="8" s="1"/>
  <c r="D334" i="8" a="1"/>
  <c r="D334" i="8"/>
  <c r="D335" i="8" a="1"/>
  <c r="D335" i="8"/>
  <c r="D336" i="8" a="1"/>
  <c r="D336" i="8" s="1"/>
  <c r="D337" i="8" a="1"/>
  <c r="D337" i="8" s="1"/>
  <c r="D338" i="8" a="1"/>
  <c r="D338" i="8"/>
  <c r="D339" i="8" a="1"/>
  <c r="D339" i="8" s="1"/>
  <c r="D340" i="8" a="1"/>
  <c r="D340" i="8"/>
  <c r="D341" i="8" a="1"/>
  <c r="D341" i="8" s="1"/>
  <c r="D342" i="8" a="1"/>
  <c r="D342" i="8"/>
  <c r="D343" i="8" a="1"/>
  <c r="D343" i="8"/>
  <c r="D344" i="8" a="1"/>
  <c r="D344" i="8"/>
  <c r="D345" i="8" a="1"/>
  <c r="D345" i="8" s="1"/>
  <c r="D346" i="8" a="1"/>
  <c r="D346" i="8" s="1"/>
  <c r="D347" i="8" a="1"/>
  <c r="D347" i="8" s="1"/>
  <c r="D348" i="8" a="1"/>
  <c r="D348" i="8"/>
  <c r="D349" i="8" a="1"/>
  <c r="D349" i="8" s="1"/>
  <c r="D350" i="8" a="1"/>
  <c r="D350" i="8"/>
  <c r="D351" i="8" a="1"/>
  <c r="D351" i="8"/>
  <c r="D352" i="8" a="1"/>
  <c r="D352" i="8"/>
  <c r="D353" i="8" a="1"/>
  <c r="D353" i="8"/>
  <c r="D354" i="8" a="1"/>
  <c r="D354" i="8" s="1"/>
  <c r="D355" i="8" a="1"/>
  <c r="D355" i="8" s="1"/>
  <c r="D356" i="8" a="1"/>
  <c r="D356" i="8"/>
  <c r="D357" i="8" a="1"/>
  <c r="D357" i="8" s="1"/>
  <c r="D358" i="8" a="1"/>
  <c r="D358" i="8"/>
  <c r="D359" i="8" a="1"/>
  <c r="D359" i="8"/>
  <c r="D360" i="8" a="1"/>
  <c r="D360" i="8"/>
  <c r="D361" i="8" a="1"/>
  <c r="D361" i="8"/>
  <c r="D362" i="8" a="1"/>
  <c r="D362" i="8"/>
  <c r="D363" i="8" a="1"/>
  <c r="D363" i="8" s="1"/>
  <c r="D364" i="8" a="1"/>
  <c r="D364" i="8"/>
  <c r="D365" i="8" a="1"/>
  <c r="D365" i="8" s="1"/>
  <c r="D366" i="8" a="1"/>
  <c r="D366" i="8"/>
  <c r="D367" i="8" a="1"/>
  <c r="D367" i="8"/>
  <c r="D368" i="8" a="1"/>
  <c r="D368" i="8"/>
  <c r="D369" i="8" a="1"/>
  <c r="D369" i="8"/>
  <c r="D370" i="8" a="1"/>
  <c r="D370" i="8"/>
  <c r="D371" i="8" a="1"/>
  <c r="D371" i="8" s="1"/>
  <c r="D372" i="8" a="1"/>
  <c r="D372" i="8" s="1"/>
  <c r="D373" i="8" a="1"/>
  <c r="D373" i="8" s="1"/>
  <c r="D374" i="8" a="1"/>
  <c r="D374" i="8" s="1"/>
  <c r="D375" i="8" a="1"/>
  <c r="D375" i="8"/>
  <c r="D376" i="8" a="1"/>
  <c r="D376" i="8"/>
  <c r="D377" i="8" a="1"/>
  <c r="D377" i="8"/>
  <c r="D378" i="8" a="1"/>
  <c r="D378" i="8"/>
  <c r="D379" i="8" a="1"/>
  <c r="D379" i="8" s="1"/>
  <c r="D380" i="8" a="1"/>
  <c r="D380" i="8"/>
  <c r="D381" i="8" a="1"/>
  <c r="D381" i="8" s="1"/>
  <c r="D382" i="8" a="1"/>
  <c r="D382" i="8" s="1"/>
  <c r="D383" i="8" a="1"/>
  <c r="D383" i="8" s="1"/>
  <c r="D384" i="8" a="1"/>
  <c r="D384" i="8"/>
  <c r="D385" i="8" a="1"/>
  <c r="D385" i="8"/>
  <c r="D386" i="8" a="1"/>
  <c r="D386" i="8"/>
  <c r="D387" i="8" a="1"/>
  <c r="D387" i="8" s="1"/>
  <c r="D388" i="8" a="1"/>
  <c r="D388" i="8"/>
  <c r="D389" i="8" a="1"/>
  <c r="D389" i="8" s="1"/>
  <c r="D390" i="8" a="1"/>
  <c r="D390" i="8"/>
  <c r="D391" i="8" a="1"/>
  <c r="D391" i="8" s="1"/>
  <c r="D392" i="8" a="1"/>
  <c r="D392" i="8" s="1"/>
  <c r="D393" i="8" a="1"/>
  <c r="D393" i="8"/>
  <c r="D394" i="8" a="1"/>
  <c r="D394" i="8"/>
  <c r="D395" i="8" a="1"/>
  <c r="D395" i="8" s="1"/>
  <c r="D396" i="8" a="1"/>
  <c r="D396" i="8"/>
  <c r="D397" i="8" a="1"/>
  <c r="D397" i="8" s="1"/>
  <c r="D398" i="8" a="1"/>
  <c r="D398" i="8"/>
  <c r="D399" i="8" a="1"/>
  <c r="D399" i="8"/>
  <c r="D400" i="8" a="1"/>
  <c r="D400" i="8" s="1"/>
  <c r="D401" i="8" a="1"/>
  <c r="D401" i="8" s="1"/>
  <c r="D402" i="8" a="1"/>
  <c r="D402" i="8"/>
  <c r="D403" i="8" a="1"/>
  <c r="D403" i="8" s="1"/>
  <c r="D404" i="8" a="1"/>
  <c r="D404" i="8"/>
  <c r="D405" i="8" a="1"/>
  <c r="D405" i="8" s="1"/>
  <c r="D406" i="8" a="1"/>
  <c r="D406" i="8"/>
  <c r="D407" i="8" a="1"/>
  <c r="D407" i="8"/>
  <c r="D408" i="8" a="1"/>
  <c r="D408" i="8"/>
  <c r="D409" i="8" a="1"/>
  <c r="D409" i="8" s="1"/>
  <c r="D410" i="8" a="1"/>
  <c r="D410" i="8" s="1"/>
  <c r="D411" i="8" a="1"/>
  <c r="D411" i="8" s="1"/>
  <c r="D412" i="8" a="1"/>
  <c r="D412" i="8"/>
  <c r="D413" i="8" a="1"/>
  <c r="D413" i="8" s="1"/>
  <c r="D414" i="8" a="1"/>
  <c r="D414" i="8"/>
  <c r="D415" i="8" a="1"/>
  <c r="D415" i="8"/>
  <c r="D416" i="8" a="1"/>
  <c r="D416" i="8"/>
  <c r="D417" i="8" a="1"/>
  <c r="D417" i="8"/>
  <c r="D418" i="8" a="1"/>
  <c r="D418" i="8" s="1"/>
  <c r="D419" i="8" a="1"/>
  <c r="D419" i="8" s="1"/>
  <c r="D420" i="8" a="1"/>
  <c r="D420" i="8"/>
  <c r="D421" i="8" a="1"/>
  <c r="D421" i="8" s="1"/>
  <c r="D422" i="8" a="1"/>
  <c r="D422" i="8"/>
  <c r="D423" i="8" a="1"/>
  <c r="D423" i="8"/>
  <c r="D424" i="8" a="1"/>
  <c r="D424" i="8"/>
  <c r="D425" i="8" a="1"/>
  <c r="D425" i="8"/>
  <c r="D426" i="8" a="1"/>
  <c r="D426" i="8"/>
  <c r="D427" i="8" a="1"/>
  <c r="D427" i="8" s="1"/>
  <c r="D428" i="8" a="1"/>
  <c r="D428" i="8"/>
  <c r="D429" i="8" a="1"/>
  <c r="D429" i="8" s="1"/>
  <c r="D430" i="8" a="1"/>
  <c r="D430" i="8"/>
  <c r="D431" i="8" a="1"/>
  <c r="D431" i="8"/>
  <c r="D432" i="8" a="1"/>
  <c r="D432" i="8"/>
  <c r="D433" i="8" a="1"/>
  <c r="D433" i="8"/>
  <c r="D434" i="8" a="1"/>
  <c r="D434" i="8"/>
  <c r="D435" i="8" a="1"/>
  <c r="D435" i="8" s="1"/>
  <c r="D436" i="8" a="1"/>
  <c r="D436" i="8" s="1"/>
  <c r="D437" i="8" a="1"/>
  <c r="D437" i="8" s="1"/>
  <c r="D438" i="8" a="1"/>
  <c r="D438" i="8" s="1"/>
  <c r="D439" i="8" a="1"/>
  <c r="D439" i="8"/>
  <c r="D440" i="8" a="1"/>
  <c r="D440" i="8"/>
  <c r="D441" i="8" a="1"/>
  <c r="D441" i="8"/>
  <c r="D442" i="8" a="1"/>
  <c r="D442" i="8"/>
  <c r="D443" i="8" a="1"/>
  <c r="D443" i="8" s="1"/>
  <c r="D444" i="8" a="1"/>
  <c r="D444" i="8"/>
  <c r="D445" i="8" a="1"/>
  <c r="D445" i="8" s="1"/>
  <c r="D446" i="8" a="1"/>
  <c r="D446" i="8" s="1"/>
  <c r="D447" i="8" a="1"/>
  <c r="D447" i="8" s="1"/>
  <c r="D448" i="8" a="1"/>
  <c r="D448" i="8"/>
  <c r="D449" i="8" a="1"/>
  <c r="D449" i="8"/>
  <c r="D450" i="8" a="1"/>
  <c r="D450" i="8"/>
  <c r="D451" i="8" a="1"/>
  <c r="D451" i="8" s="1"/>
  <c r="D452" i="8" a="1"/>
  <c r="D452" i="8"/>
  <c r="D453" i="8" a="1"/>
  <c r="D453" i="8" s="1"/>
  <c r="D454" i="8" a="1"/>
  <c r="D454" i="8"/>
  <c r="D455" i="8" a="1"/>
  <c r="D455" i="8" s="1"/>
  <c r="D456" i="8" a="1"/>
  <c r="D456" i="8" s="1"/>
  <c r="D457" i="8" a="1"/>
  <c r="D457" i="8"/>
  <c r="D458" i="8" a="1"/>
  <c r="D458" i="8"/>
  <c r="D459" i="8" a="1"/>
  <c r="D459" i="8" s="1"/>
  <c r="D460" i="8" a="1"/>
  <c r="D460" i="8"/>
  <c r="D461" i="8" a="1"/>
  <c r="D461" i="8" s="1"/>
  <c r="D462" i="8" a="1"/>
  <c r="D462" i="8"/>
  <c r="D463" i="8" a="1"/>
  <c r="D463" i="8"/>
  <c r="D464" i="8" a="1"/>
  <c r="D464" i="8" s="1"/>
  <c r="D465" i="8" a="1"/>
  <c r="D465" i="8" s="1"/>
  <c r="D466" i="8" a="1"/>
  <c r="D466" i="8"/>
  <c r="D467" i="8" a="1"/>
  <c r="D467" i="8" s="1"/>
  <c r="D468" i="8" a="1"/>
  <c r="D468" i="8"/>
  <c r="D469" i="8" a="1"/>
  <c r="D469" i="8" s="1"/>
  <c r="D470" i="8" a="1"/>
  <c r="D470" i="8"/>
  <c r="D471" i="8" a="1"/>
  <c r="D471" i="8"/>
  <c r="D472" i="8" a="1"/>
  <c r="D472" i="8"/>
  <c r="D473" i="8" a="1"/>
  <c r="D473" i="8" s="1"/>
  <c r="D474" i="8" a="1"/>
  <c r="D474" i="8" s="1"/>
  <c r="D475" i="8" a="1"/>
  <c r="D475" i="8" s="1"/>
  <c r="D476" i="8" a="1"/>
  <c r="D476" i="8"/>
  <c r="D477" i="8" a="1"/>
  <c r="D477" i="8" s="1"/>
  <c r="D478" i="8" a="1"/>
  <c r="D478" i="8"/>
  <c r="D479" i="8" a="1"/>
  <c r="D479" i="8"/>
  <c r="D480" i="8" a="1"/>
  <c r="D480" i="8"/>
  <c r="D481" i="8" a="1"/>
  <c r="D481" i="8"/>
  <c r="D482" i="8" a="1"/>
  <c r="D482" i="8" s="1"/>
  <c r="D483" i="8" a="1"/>
  <c r="D483" i="8" s="1"/>
  <c r="D484" i="8" a="1"/>
  <c r="D484" i="8"/>
  <c r="D485" i="8" a="1"/>
  <c r="D485" i="8" s="1"/>
  <c r="D486" i="8" a="1"/>
  <c r="D486" i="8"/>
  <c r="D487" i="8" a="1"/>
  <c r="D487" i="8"/>
  <c r="D488" i="8" a="1"/>
  <c r="D488" i="8"/>
  <c r="D489" i="8" a="1"/>
  <c r="D489" i="8"/>
  <c r="D490" i="8" a="1"/>
  <c r="D490" i="8"/>
  <c r="D491" i="8" a="1"/>
  <c r="D491" i="8" s="1"/>
  <c r="D492" i="8" a="1"/>
  <c r="D492" i="8"/>
  <c r="D493" i="8" a="1"/>
  <c r="D493" i="8" s="1"/>
  <c r="D494" i="8" a="1"/>
  <c r="D494" i="8"/>
  <c r="D495" i="8" a="1"/>
  <c r="D495" i="8"/>
  <c r="D496" i="8" a="1"/>
  <c r="D496" i="8"/>
  <c r="D497" i="8" a="1"/>
  <c r="D497" i="8"/>
  <c r="D498" i="8" a="1"/>
  <c r="D498" i="8"/>
  <c r="D499" i="8" a="1"/>
  <c r="D499" i="8" s="1"/>
  <c r="D500" i="8" a="1"/>
  <c r="D500" i="8" s="1"/>
  <c r="D501" i="8" a="1"/>
  <c r="D501" i="8" s="1"/>
  <c r="D502" i="8" a="1"/>
  <c r="D502" i="8" s="1"/>
  <c r="D503" i="8" a="1"/>
  <c r="D503" i="8"/>
  <c r="D504" i="8" a="1"/>
  <c r="D504" i="8"/>
  <c r="D505" i="8" a="1"/>
  <c r="D505" i="8"/>
  <c r="D506" i="8" a="1"/>
  <c r="D506" i="8"/>
  <c r="D507" i="8" a="1"/>
  <c r="D507" i="8" s="1"/>
  <c r="D508" i="8" a="1"/>
  <c r="D508" i="8"/>
  <c r="D509" i="8" a="1"/>
  <c r="D509" i="8" s="1"/>
  <c r="D510" i="8" a="1"/>
  <c r="D510" i="8" s="1"/>
  <c r="D511" i="8" a="1"/>
  <c r="D511" i="8" s="1"/>
  <c r="D512" i="8" a="1"/>
  <c r="D512" i="8"/>
  <c r="D513" i="8" a="1"/>
  <c r="D513" i="8"/>
  <c r="D514" i="8" a="1"/>
  <c r="D514" i="8"/>
  <c r="D515" i="8" a="1"/>
  <c r="D515" i="8" s="1"/>
  <c r="D516" i="8" a="1"/>
  <c r="D516" i="8"/>
  <c r="D517" i="8" a="1"/>
  <c r="D517" i="8" s="1"/>
  <c r="D518" i="8" a="1"/>
  <c r="D518" i="8"/>
  <c r="D519" i="8" a="1"/>
  <c r="D519" i="8" s="1"/>
  <c r="D520" i="8" a="1"/>
  <c r="D520" i="8" s="1"/>
  <c r="D521" i="8" a="1"/>
  <c r="D521" i="8"/>
  <c r="D522" i="8" a="1"/>
  <c r="D522" i="8"/>
  <c r="D523" i="8" a="1"/>
  <c r="D523" i="8" s="1"/>
  <c r="D524" i="8" a="1"/>
  <c r="D524" i="8"/>
  <c r="D525" i="8" a="1"/>
  <c r="D525" i="8" s="1"/>
  <c r="D526" i="8" a="1"/>
  <c r="D526" i="8"/>
  <c r="D527" i="8" a="1"/>
  <c r="D527" i="8"/>
  <c r="D528" i="8" a="1"/>
  <c r="D528" i="8" s="1"/>
  <c r="D529" i="8" a="1"/>
  <c r="D529" i="8" s="1"/>
  <c r="D530" i="8" a="1"/>
  <c r="D530" i="8"/>
  <c r="D531" i="8" a="1"/>
  <c r="D531" i="8" s="1"/>
  <c r="D532" i="8" a="1"/>
  <c r="D532" i="8"/>
  <c r="D533" i="8" a="1"/>
  <c r="D533" i="8" s="1"/>
  <c r="D534" i="8" a="1"/>
  <c r="D534" i="8"/>
  <c r="D535" i="8" a="1"/>
  <c r="D535" i="8"/>
  <c r="D536" i="8" a="1"/>
  <c r="D536" i="8"/>
  <c r="D537" i="8" a="1"/>
  <c r="D537" i="8" s="1"/>
  <c r="D538" i="8" a="1"/>
  <c r="D538" i="8" s="1"/>
  <c r="D539" i="8" a="1"/>
  <c r="D539" i="8" s="1"/>
  <c r="D540" i="8" a="1"/>
  <c r="D540" i="8"/>
  <c r="D541" i="8" a="1"/>
  <c r="D541" i="8" s="1"/>
  <c r="D542" i="8" a="1"/>
  <c r="D542" i="8"/>
  <c r="D543" i="8" a="1"/>
  <c r="D543" i="8"/>
  <c r="D544" i="8" a="1"/>
  <c r="D544" i="8"/>
  <c r="D545" i="8" a="1"/>
  <c r="D545" i="8"/>
  <c r="D546" i="8" a="1"/>
  <c r="D546" i="8" s="1"/>
  <c r="D547" i="8" a="1"/>
  <c r="D547" i="8" s="1"/>
  <c r="D548" i="8" a="1"/>
  <c r="D548" i="8"/>
  <c r="D549" i="8" a="1"/>
  <c r="D549" i="8" s="1"/>
  <c r="D550" i="8" a="1"/>
  <c r="D550" i="8"/>
  <c r="D551" i="8" a="1"/>
  <c r="D551" i="8"/>
  <c r="D552" i="8" a="1"/>
  <c r="D552" i="8"/>
  <c r="D553" i="8" a="1"/>
  <c r="D553" i="8"/>
  <c r="D554" i="8" a="1"/>
  <c r="D554" i="8"/>
  <c r="D555" i="8" a="1"/>
  <c r="D555" i="8" s="1"/>
  <c r="D556" i="8" a="1"/>
  <c r="D556" i="8"/>
  <c r="D557" i="8" a="1"/>
  <c r="D557" i="8" s="1"/>
  <c r="D558" i="8" a="1"/>
  <c r="D558" i="8"/>
  <c r="D559" i="8" a="1"/>
  <c r="D559" i="8"/>
  <c r="D560" i="8" a="1"/>
  <c r="D560" i="8"/>
  <c r="D561" i="8" a="1"/>
  <c r="D561" i="8"/>
  <c r="D562" i="8" a="1"/>
  <c r="D562" i="8"/>
  <c r="D563" i="8" a="1"/>
  <c r="D563" i="8" s="1"/>
  <c r="D564" i="8" a="1"/>
  <c r="D564" i="8" s="1"/>
  <c r="D565" i="8" a="1"/>
  <c r="D565" i="8" s="1"/>
  <c r="D566" i="8" a="1"/>
  <c r="D566" i="8" s="1"/>
  <c r="D567" i="8" a="1"/>
  <c r="D567" i="8"/>
  <c r="D568" i="8" a="1"/>
  <c r="D568" i="8"/>
  <c r="D569" i="8" a="1"/>
  <c r="D569" i="8"/>
  <c r="D570" i="8" a="1"/>
  <c r="D570" i="8"/>
  <c r="D571" i="8" a="1"/>
  <c r="D571" i="8" s="1"/>
  <c r="D572" i="8" a="1"/>
  <c r="D572" i="8"/>
  <c r="D573" i="8" a="1"/>
  <c r="D573" i="8" s="1"/>
  <c r="D574" i="8" a="1"/>
  <c r="D574" i="8" s="1"/>
  <c r="D575" i="8" a="1"/>
  <c r="D575" i="8" s="1"/>
  <c r="D576" i="8" a="1"/>
  <c r="D576" i="8"/>
  <c r="D577" i="8" a="1"/>
  <c r="D577" i="8"/>
  <c r="D578" i="8" a="1"/>
  <c r="D578" i="8"/>
  <c r="D579" i="8" a="1"/>
  <c r="D579" i="8" s="1"/>
  <c r="D580" i="8" a="1"/>
  <c r="D580" i="8"/>
  <c r="D581" i="8" a="1"/>
  <c r="D581" i="8" s="1"/>
  <c r="D582" i="8" a="1"/>
  <c r="D582" i="8"/>
  <c r="D583" i="8" a="1"/>
  <c r="D583" i="8" s="1"/>
  <c r="D584" i="8" a="1"/>
  <c r="D584" i="8" s="1"/>
  <c r="D585" i="8" a="1"/>
  <c r="D585" i="8"/>
  <c r="D586" i="8" a="1"/>
  <c r="D586" i="8"/>
  <c r="D587" i="8" a="1"/>
  <c r="D587" i="8" s="1"/>
  <c r="D588" i="8" a="1"/>
  <c r="D588" i="8"/>
  <c r="D589" i="8" a="1"/>
  <c r="D589" i="8" s="1"/>
  <c r="D590" i="8" a="1"/>
  <c r="D590" i="8"/>
  <c r="D591" i="8" a="1"/>
  <c r="D591" i="8"/>
  <c r="D592" i="8" a="1"/>
  <c r="D592" i="8" s="1"/>
  <c r="D593" i="8" a="1"/>
  <c r="D593" i="8" s="1"/>
  <c r="D594" i="8" a="1"/>
  <c r="D594" i="8"/>
  <c r="D595" i="8" a="1"/>
  <c r="D595" i="8"/>
  <c r="D596" i="8" a="1"/>
  <c r="D596" i="8"/>
  <c r="D597" i="8" a="1"/>
  <c r="D597" i="8" s="1"/>
  <c r="D598" i="8" a="1"/>
  <c r="D598" i="8"/>
  <c r="D599" i="8" a="1"/>
  <c r="D599" i="8"/>
  <c r="D600" i="8" a="1"/>
  <c r="D600" i="8" s="1"/>
  <c r="D601" i="8" a="1"/>
  <c r="D601" i="8"/>
  <c r="D602" i="8" a="1"/>
  <c r="D602" i="8"/>
  <c r="D603" i="8" a="1"/>
  <c r="D603" i="8"/>
  <c r="D604" i="8" a="1"/>
  <c r="D604" i="8"/>
  <c r="D605" i="8" a="1"/>
  <c r="D605" i="8" s="1"/>
  <c r="D606" i="8" a="1"/>
  <c r="D606" i="8"/>
  <c r="D607" i="8" a="1"/>
  <c r="D607" i="8"/>
  <c r="D608" i="8" a="1"/>
  <c r="D608" i="8"/>
  <c r="D609" i="8" a="1"/>
  <c r="D609" i="8" s="1"/>
  <c r="D610" i="8" a="1"/>
  <c r="D610" i="8" s="1"/>
  <c r="D611" i="8" a="1"/>
  <c r="D611" i="8"/>
  <c r="D612" i="8" a="1"/>
  <c r="D612" i="8"/>
  <c r="D613" i="8" a="1"/>
  <c r="D613" i="8" s="1"/>
  <c r="D614" i="8" a="1"/>
  <c r="D614" i="8"/>
  <c r="D615" i="8" a="1"/>
  <c r="D615" i="8"/>
  <c r="D616" i="8" a="1"/>
  <c r="D616" i="8"/>
  <c r="D617" i="8" a="1"/>
  <c r="D617" i="8" s="1"/>
  <c r="D618" i="8" a="1"/>
  <c r="D618" i="8"/>
  <c r="D619" i="8" a="1"/>
  <c r="D619" i="8"/>
  <c r="D620" i="8" a="1"/>
  <c r="D620" i="8"/>
  <c r="D621" i="8" a="1"/>
  <c r="D621" i="8" s="1"/>
  <c r="D622" i="8" a="1"/>
  <c r="D622" i="8"/>
  <c r="D623" i="8" a="1"/>
  <c r="D623" i="8"/>
  <c r="D624" i="8" a="1"/>
  <c r="D624" i="8"/>
  <c r="D625" i="8" a="1"/>
  <c r="D625" i="8"/>
  <c r="D626" i="8" a="1"/>
  <c r="D626" i="8" s="1"/>
  <c r="D627" i="8" a="1"/>
  <c r="D627" i="8" s="1"/>
  <c r="D628" i="8" a="1"/>
  <c r="D628" i="8"/>
  <c r="D629" i="8" a="1"/>
  <c r="D629" i="8" s="1"/>
  <c r="D630" i="8" a="1"/>
  <c r="D630" i="8"/>
  <c r="D631" i="8" a="1"/>
  <c r="D631" i="8"/>
  <c r="D632" i="8" a="1"/>
  <c r="D632" i="8"/>
  <c r="D633" i="8" a="1"/>
  <c r="D633" i="8"/>
  <c r="D634" i="8" a="1"/>
  <c r="D634" i="8" s="1"/>
  <c r="D635" i="8" a="1"/>
  <c r="D635" i="8"/>
  <c r="D636" i="8" a="1"/>
  <c r="D636" i="8"/>
  <c r="D637" i="8" a="1"/>
  <c r="D637" i="8" s="1"/>
  <c r="D638" i="8" a="1"/>
  <c r="D638" i="8"/>
  <c r="D639" i="8" a="1"/>
  <c r="D639" i="8"/>
  <c r="D640" i="8" a="1"/>
  <c r="D640" i="8"/>
  <c r="D641" i="8" a="1"/>
  <c r="D641" i="8"/>
  <c r="D642" i="8" a="1"/>
  <c r="D642" i="8"/>
  <c r="D643" i="8" a="1"/>
  <c r="D643" i="8" s="1"/>
  <c r="D644" i="8" a="1"/>
  <c r="D644" i="8" s="1"/>
  <c r="D645" i="8" a="1"/>
  <c r="D645" i="8" s="1"/>
  <c r="D646" i="8" a="1"/>
  <c r="D646" i="8"/>
  <c r="D647" i="8" a="1"/>
  <c r="D647" i="8"/>
  <c r="D648" i="8" a="1"/>
  <c r="D648" i="8"/>
  <c r="D649" i="8" a="1"/>
  <c r="D649" i="8"/>
  <c r="D650" i="8" a="1"/>
  <c r="D650" i="8"/>
  <c r="D651" i="8" a="1"/>
  <c r="D651" i="8" s="1"/>
  <c r="D652" i="8" a="1"/>
  <c r="D652" i="8"/>
  <c r="D653" i="8" a="1"/>
  <c r="D653" i="8" s="1"/>
  <c r="D654" i="8" a="1"/>
  <c r="D654" i="8"/>
  <c r="D655" i="8" a="1"/>
  <c r="D655" i="8"/>
  <c r="D656" i="8" a="1"/>
  <c r="D656" i="8"/>
  <c r="D657" i="8" a="1"/>
  <c r="D657" i="8"/>
  <c r="D658" i="8" a="1"/>
  <c r="D658" i="8"/>
  <c r="D659" i="8" a="1"/>
  <c r="D659" i="8"/>
  <c r="D660" i="8" a="1"/>
  <c r="D660" i="8" s="1"/>
  <c r="D661" i="8" a="1"/>
  <c r="D661" i="8" s="1"/>
  <c r="D662" i="8" a="1"/>
  <c r="D662" i="8"/>
  <c r="D663" i="8" a="1"/>
  <c r="D663" i="8"/>
  <c r="D664" i="8" a="1"/>
  <c r="D664" i="8"/>
  <c r="D665" i="8" a="1"/>
  <c r="D665" i="8"/>
  <c r="D666" i="8" a="1"/>
  <c r="D666" i="8"/>
  <c r="D667" i="8" a="1"/>
  <c r="D667" i="8"/>
  <c r="D668" i="8" a="1"/>
  <c r="D668" i="8" s="1"/>
  <c r="D669" i="8" a="1"/>
  <c r="D669" i="8" s="1"/>
  <c r="D670" i="8" a="1"/>
  <c r="D670" i="8" s="1"/>
  <c r="D671" i="8" a="1"/>
  <c r="D671" i="8"/>
  <c r="D672" i="8" a="1"/>
  <c r="D672" i="8"/>
  <c r="D673" i="8" a="1"/>
  <c r="D673" i="8"/>
  <c r="D674" i="8" a="1"/>
  <c r="D674" i="8"/>
  <c r="D675" i="8" a="1"/>
  <c r="D675" i="8"/>
  <c r="D676" i="8" a="1"/>
  <c r="D676" i="8"/>
  <c r="D677" i="8" a="1"/>
  <c r="D677" i="8" s="1"/>
  <c r="D678" i="8" a="1"/>
  <c r="D678" i="8"/>
  <c r="D679" i="8" a="1"/>
  <c r="D679" i="8"/>
  <c r="D680" i="8" a="1"/>
  <c r="D680" i="8"/>
  <c r="D681" i="8" a="1"/>
  <c r="D681" i="8"/>
  <c r="D682" i="8" a="1"/>
  <c r="D682" i="8"/>
  <c r="D683" i="8" a="1"/>
  <c r="D683" i="8"/>
  <c r="D684" i="8" a="1"/>
  <c r="D684" i="8"/>
  <c r="D685" i="8" a="1"/>
  <c r="D685" i="8" s="1"/>
  <c r="D686" i="8" a="1"/>
  <c r="D686" i="8"/>
  <c r="D687" i="8" a="1"/>
  <c r="D687" i="8"/>
  <c r="D688" i="8" a="1"/>
  <c r="D688" i="8"/>
  <c r="D689" i="8" a="1"/>
  <c r="D689" i="8"/>
  <c r="D690" i="8" a="1"/>
  <c r="D690" i="8"/>
  <c r="D691" i="8" a="1"/>
  <c r="D691" i="8"/>
  <c r="D692" i="8" a="1"/>
  <c r="D692" i="8"/>
  <c r="D693" i="8" a="1"/>
  <c r="D693" i="8" s="1"/>
  <c r="D694" i="8" a="1"/>
  <c r="D694" i="8"/>
  <c r="D695" i="8" a="1"/>
  <c r="D695" i="8"/>
  <c r="D696" i="8" a="1"/>
  <c r="D696" i="8"/>
  <c r="D697" i="8" a="1"/>
  <c r="D697" i="8"/>
  <c r="D698" i="8" a="1"/>
  <c r="D698" i="8"/>
  <c r="D699" i="8" a="1"/>
  <c r="D699" i="8"/>
  <c r="D700" i="8" a="1"/>
  <c r="D700" i="8"/>
  <c r="D701" i="8" a="1"/>
  <c r="D701" i="8" s="1"/>
  <c r="D2" i="8" a="1"/>
  <c r="D2" i="8" s="1"/>
  <c r="C29" i="8" a="1"/>
  <c r="C29" i="8"/>
  <c r="C30" i="8" a="1"/>
  <c r="C30" i="8"/>
  <c r="C31" i="8" a="1"/>
  <c r="C31" i="8" s="1"/>
  <c r="C32" i="8" a="1"/>
  <c r="C32" i="8"/>
  <c r="C33" i="8" a="1"/>
  <c r="C33" i="8"/>
  <c r="C34" i="8" a="1"/>
  <c r="C34" i="8"/>
  <c r="C35" i="8" a="1"/>
  <c r="C35" i="8"/>
  <c r="C36" i="8" a="1"/>
  <c r="C36" i="8"/>
  <c r="C37" i="8" a="1"/>
  <c r="C37" i="8"/>
  <c r="C38" i="8" a="1"/>
  <c r="C38" i="8"/>
  <c r="C39" i="8" a="1"/>
  <c r="C39" i="8" s="1"/>
  <c r="C40" i="8" a="1"/>
  <c r="C40" i="8"/>
  <c r="C41" i="8" a="1"/>
  <c r="C41" i="8"/>
  <c r="C42" i="8" a="1"/>
  <c r="C42" i="8"/>
  <c r="C43" i="8" a="1"/>
  <c r="C43" i="8"/>
  <c r="C44" i="8" a="1"/>
  <c r="C44" i="8"/>
  <c r="C45" i="8" a="1"/>
  <c r="C45" i="8"/>
  <c r="C46" i="8" a="1"/>
  <c r="C46" i="8"/>
  <c r="C47" i="8" a="1"/>
  <c r="C47" i="8" s="1"/>
  <c r="C48" i="8" a="1"/>
  <c r="C48" i="8"/>
  <c r="C49" i="8" a="1"/>
  <c r="C49" i="8"/>
  <c r="C50" i="8" a="1"/>
  <c r="C50" i="8"/>
  <c r="C51" i="8" a="1"/>
  <c r="C51" i="8"/>
  <c r="C52" i="8" a="1"/>
  <c r="C52" i="8"/>
  <c r="C53" i="8" a="1"/>
  <c r="C53" i="8"/>
  <c r="C54" i="8" a="1"/>
  <c r="C54" i="8"/>
  <c r="C55" i="8" a="1"/>
  <c r="C55" i="8" s="1"/>
  <c r="C56" i="8" a="1"/>
  <c r="C56" i="8"/>
  <c r="C57" i="8" a="1"/>
  <c r="C57" i="8"/>
  <c r="C58" i="8" a="1"/>
  <c r="C58" i="8"/>
  <c r="C59" i="8" a="1"/>
  <c r="C59" i="8"/>
  <c r="C60" i="8" a="1"/>
  <c r="C60" i="8"/>
  <c r="C61" i="8" a="1"/>
  <c r="C61" i="8"/>
  <c r="C62" i="8" a="1"/>
  <c r="C62" i="8"/>
  <c r="C63" i="8" a="1"/>
  <c r="C63" i="8" s="1"/>
  <c r="C64" i="8" a="1"/>
  <c r="C64" i="8"/>
  <c r="C65" i="8" a="1"/>
  <c r="C65" i="8"/>
  <c r="C66" i="8" a="1"/>
  <c r="C66" i="8"/>
  <c r="C67" i="8" a="1"/>
  <c r="C67" i="8"/>
  <c r="C68" i="8" a="1"/>
  <c r="C68" i="8"/>
  <c r="C69" i="8" a="1"/>
  <c r="C69" i="8"/>
  <c r="C70" i="8" a="1"/>
  <c r="C70" i="8"/>
  <c r="C71" i="8" a="1"/>
  <c r="C71" i="8" s="1"/>
  <c r="C72" i="8" a="1"/>
  <c r="C72" i="8"/>
  <c r="C73" i="8" a="1"/>
  <c r="C73" i="8"/>
  <c r="C74" i="8" a="1"/>
  <c r="C74" i="8"/>
  <c r="C75" i="8" a="1"/>
  <c r="C75" i="8"/>
  <c r="C76" i="8" a="1"/>
  <c r="C76" i="8"/>
  <c r="C77" i="8" a="1"/>
  <c r="C77" i="8"/>
  <c r="C78" i="8" a="1"/>
  <c r="C78" i="8"/>
  <c r="C79" i="8" a="1"/>
  <c r="C79" i="8" s="1"/>
  <c r="C80" i="8" a="1"/>
  <c r="C80" i="8"/>
  <c r="C81" i="8" a="1"/>
  <c r="C81" i="8"/>
  <c r="C82" i="8" a="1"/>
  <c r="C82" i="8"/>
  <c r="C83" i="8" a="1"/>
  <c r="C83" i="8"/>
  <c r="C84" i="8" a="1"/>
  <c r="C84" i="8"/>
  <c r="C85" i="8" a="1"/>
  <c r="C85" i="8"/>
  <c r="C86" i="8" a="1"/>
  <c r="C86" i="8"/>
  <c r="C87" i="8" a="1"/>
  <c r="C87" i="8" s="1"/>
  <c r="C88" i="8" a="1"/>
  <c r="C88" i="8"/>
  <c r="C89" i="8" a="1"/>
  <c r="C89" i="8"/>
  <c r="C90" i="8" a="1"/>
  <c r="C90" i="8"/>
  <c r="C91" i="8" a="1"/>
  <c r="C91" i="8"/>
  <c r="C92" i="8" a="1"/>
  <c r="C92" i="8"/>
  <c r="C93" i="8" a="1"/>
  <c r="C93" i="8"/>
  <c r="C94" i="8" a="1"/>
  <c r="C94" i="8"/>
  <c r="C95" i="8" a="1"/>
  <c r="C95" i="8" s="1"/>
  <c r="C96" i="8" a="1"/>
  <c r="C96" i="8"/>
  <c r="C97" i="8" a="1"/>
  <c r="C97" i="8"/>
  <c r="C98" i="8" a="1"/>
  <c r="C98" i="8"/>
  <c r="C99" i="8" a="1"/>
  <c r="C99" i="8"/>
  <c r="C100" i="8" a="1"/>
  <c r="C100" i="8"/>
  <c r="C101" i="8" a="1"/>
  <c r="C101" i="8"/>
  <c r="C102" i="8" a="1"/>
  <c r="C102" i="8"/>
  <c r="C103" i="8" a="1"/>
  <c r="C103" i="8" s="1"/>
  <c r="C104" i="8" a="1"/>
  <c r="C104" i="8"/>
  <c r="C105" i="8" a="1"/>
  <c r="C105" i="8"/>
  <c r="C106" i="8" a="1"/>
  <c r="C106" i="8"/>
  <c r="C107" i="8" a="1"/>
  <c r="C107" i="8"/>
  <c r="C108" i="8" a="1"/>
  <c r="C108" i="8"/>
  <c r="C109" i="8" a="1"/>
  <c r="C109" i="8"/>
  <c r="C110" i="8" a="1"/>
  <c r="C110" i="8"/>
  <c r="C111" i="8" a="1"/>
  <c r="C111" i="8" s="1"/>
  <c r="C112" i="8" a="1"/>
  <c r="C112" i="8"/>
  <c r="C113" i="8" a="1"/>
  <c r="C113" i="8"/>
  <c r="C114" i="8" a="1"/>
  <c r="C114" i="8"/>
  <c r="C115" i="8" a="1"/>
  <c r="C115" i="8"/>
  <c r="C116" i="8" a="1"/>
  <c r="C116" i="8"/>
  <c r="C117" i="8" a="1"/>
  <c r="C117" i="8"/>
  <c r="C118" i="8" a="1"/>
  <c r="C118" i="8"/>
  <c r="C119" i="8" a="1"/>
  <c r="C119" i="8" s="1"/>
  <c r="C120" i="8" a="1"/>
  <c r="C120" i="8"/>
  <c r="C121" i="8" a="1"/>
  <c r="C121" i="8"/>
  <c r="C122" i="8" a="1"/>
  <c r="C122" i="8"/>
  <c r="C123" i="8" a="1"/>
  <c r="C123" i="8"/>
  <c r="C124" i="8" a="1"/>
  <c r="C124" i="8"/>
  <c r="C125" i="8" a="1"/>
  <c r="C125" i="8"/>
  <c r="C126" i="8" a="1"/>
  <c r="C126" i="8"/>
  <c r="C127" i="8" a="1"/>
  <c r="C127" i="8" s="1"/>
  <c r="C128" i="8" a="1"/>
  <c r="C128" i="8"/>
  <c r="C129" i="8" a="1"/>
  <c r="C129" i="8"/>
  <c r="C130" i="8" a="1"/>
  <c r="C130" i="8"/>
  <c r="C131" i="8" a="1"/>
  <c r="C131" i="8"/>
  <c r="C132" i="8" a="1"/>
  <c r="C132" i="8"/>
  <c r="C133" i="8" a="1"/>
  <c r="C133" i="8"/>
  <c r="C134" i="8" a="1"/>
  <c r="C134" i="8"/>
  <c r="C135" i="8" a="1"/>
  <c r="C135" i="8" s="1"/>
  <c r="C136" i="8" a="1"/>
  <c r="C136" i="8"/>
  <c r="C137" i="8" a="1"/>
  <c r="C137" i="8"/>
  <c r="C138" i="8" a="1"/>
  <c r="C138" i="8"/>
  <c r="C139" i="8" a="1"/>
  <c r="C139" i="8"/>
  <c r="C140" i="8" a="1"/>
  <c r="C140" i="8"/>
  <c r="C141" i="8" a="1"/>
  <c r="C141" i="8"/>
  <c r="C142" i="8" a="1"/>
  <c r="C142" i="8"/>
  <c r="C143" i="8" a="1"/>
  <c r="C143" i="8" s="1"/>
  <c r="C144" i="8" a="1"/>
  <c r="C144" i="8"/>
  <c r="C145" i="8" a="1"/>
  <c r="C145" i="8"/>
  <c r="C146" i="8" a="1"/>
  <c r="C146" i="8"/>
  <c r="C147" i="8" a="1"/>
  <c r="C147" i="8"/>
  <c r="C148" i="8" a="1"/>
  <c r="C148" i="8"/>
  <c r="C149" i="8" a="1"/>
  <c r="C149" i="8"/>
  <c r="C150" i="8" a="1"/>
  <c r="C150" i="8"/>
  <c r="C151" i="8" a="1"/>
  <c r="C151" i="8" s="1"/>
  <c r="C152" i="8" a="1"/>
  <c r="C152" i="8"/>
  <c r="C153" i="8" a="1"/>
  <c r="C153" i="8"/>
  <c r="C154" i="8" a="1"/>
  <c r="C154" i="8"/>
  <c r="C155" i="8" a="1"/>
  <c r="C155" i="8"/>
  <c r="C156" i="8" a="1"/>
  <c r="C156" i="8"/>
  <c r="C157" i="8" a="1"/>
  <c r="C157" i="8"/>
  <c r="C158" i="8" a="1"/>
  <c r="C158" i="8"/>
  <c r="C159" i="8" a="1"/>
  <c r="C159" i="8" s="1"/>
  <c r="C160" i="8" a="1"/>
  <c r="C160" i="8"/>
  <c r="C161" i="8" a="1"/>
  <c r="C161" i="8"/>
  <c r="C162" i="8" a="1"/>
  <c r="C162" i="8"/>
  <c r="C163" i="8" a="1"/>
  <c r="C163" i="8"/>
  <c r="C164" i="8" a="1"/>
  <c r="C164" i="8"/>
  <c r="C165" i="8" a="1"/>
  <c r="C165" i="8"/>
  <c r="C166" i="8" a="1"/>
  <c r="C166" i="8"/>
  <c r="C167" i="8" a="1"/>
  <c r="C167" i="8" s="1"/>
  <c r="C168" i="8" a="1"/>
  <c r="C168" i="8"/>
  <c r="C169" i="8" a="1"/>
  <c r="C169" i="8"/>
  <c r="C170" i="8" a="1"/>
  <c r="C170" i="8"/>
  <c r="C171" i="8" a="1"/>
  <c r="C171" i="8"/>
  <c r="C172" i="8" a="1"/>
  <c r="C172" i="8"/>
  <c r="C173" i="8" a="1"/>
  <c r="C173" i="8"/>
  <c r="C174" i="8" a="1"/>
  <c r="C174" i="8"/>
  <c r="C175" i="8" a="1"/>
  <c r="C175" i="8" s="1"/>
  <c r="C176" i="8" a="1"/>
  <c r="C176" i="8"/>
  <c r="C177" i="8" a="1"/>
  <c r="C177" i="8"/>
  <c r="C178" i="8" a="1"/>
  <c r="C178" i="8"/>
  <c r="C179" i="8" a="1"/>
  <c r="C179" i="8"/>
  <c r="C180" i="8" a="1"/>
  <c r="C180" i="8"/>
  <c r="C181" i="8" a="1"/>
  <c r="C181" i="8"/>
  <c r="C182" i="8" a="1"/>
  <c r="C182" i="8"/>
  <c r="C183" i="8" a="1"/>
  <c r="C183" i="8" s="1"/>
  <c r="C184" i="8" a="1"/>
  <c r="C184" i="8"/>
  <c r="C185" i="8" a="1"/>
  <c r="C185" i="8"/>
  <c r="C186" i="8" a="1"/>
  <c r="C186" i="8"/>
  <c r="C187" i="8" a="1"/>
  <c r="C187" i="8"/>
  <c r="C188" i="8" a="1"/>
  <c r="C188" i="8"/>
  <c r="C189" i="8" a="1"/>
  <c r="C189" i="8"/>
  <c r="C190" i="8" a="1"/>
  <c r="C190" i="8"/>
  <c r="C191" i="8" a="1"/>
  <c r="C191" i="8" s="1"/>
  <c r="C192" i="8" a="1"/>
  <c r="C192" i="8"/>
  <c r="C193" i="8" a="1"/>
  <c r="C193" i="8"/>
  <c r="C194" i="8" a="1"/>
  <c r="C194" i="8"/>
  <c r="C195" i="8" a="1"/>
  <c r="C195" i="8"/>
  <c r="C196" i="8" a="1"/>
  <c r="C196" i="8"/>
  <c r="C197" i="8" a="1"/>
  <c r="C197" i="8"/>
  <c r="C198" i="8" a="1"/>
  <c r="C198" i="8"/>
  <c r="C199" i="8" a="1"/>
  <c r="C199" i="8" s="1"/>
  <c r="C200" i="8" a="1"/>
  <c r="C200" i="8"/>
  <c r="C201" i="8" a="1"/>
  <c r="C201" i="8"/>
  <c r="C202" i="8" a="1"/>
  <c r="C202" i="8"/>
  <c r="C203" i="8" a="1"/>
  <c r="C203" i="8"/>
  <c r="C204" i="8" a="1"/>
  <c r="C204" i="8"/>
  <c r="C205" i="8" a="1"/>
  <c r="C205" i="8"/>
  <c r="C206" i="8" a="1"/>
  <c r="C206" i="8"/>
  <c r="C207" i="8" a="1"/>
  <c r="C207" i="8" s="1"/>
  <c r="C208" i="8" a="1"/>
  <c r="C208" i="8"/>
  <c r="C209" i="8" a="1"/>
  <c r="C209" i="8"/>
  <c r="C210" i="8" a="1"/>
  <c r="C210" i="8"/>
  <c r="C211" i="8" a="1"/>
  <c r="C211" i="8"/>
  <c r="C212" i="8" a="1"/>
  <c r="C212" i="8"/>
  <c r="C213" i="8" a="1"/>
  <c r="C213" i="8"/>
  <c r="C214" i="8" a="1"/>
  <c r="C214" i="8"/>
  <c r="C215" i="8" a="1"/>
  <c r="C215" i="8" s="1"/>
  <c r="C216" i="8" a="1"/>
  <c r="C216" i="8"/>
  <c r="C217" i="8" a="1"/>
  <c r="C217" i="8"/>
  <c r="C218" i="8" a="1"/>
  <c r="C218" i="8"/>
  <c r="C219" i="8" a="1"/>
  <c r="C219" i="8"/>
  <c r="C220" i="8" a="1"/>
  <c r="C220" i="8"/>
  <c r="C221" i="8" a="1"/>
  <c r="C221" i="8"/>
  <c r="C222" i="8" a="1"/>
  <c r="C222" i="8"/>
  <c r="C223" i="8" a="1"/>
  <c r="C223" i="8" s="1"/>
  <c r="C224" i="8" a="1"/>
  <c r="C224" i="8"/>
  <c r="C225" i="8" a="1"/>
  <c r="C225" i="8"/>
  <c r="C226" i="8" a="1"/>
  <c r="C226" i="8"/>
  <c r="C227" i="8" a="1"/>
  <c r="C227" i="8"/>
  <c r="C228" i="8" a="1"/>
  <c r="C228" i="8"/>
  <c r="C229" i="8" a="1"/>
  <c r="C229" i="8"/>
  <c r="C230" i="8" a="1"/>
  <c r="C230" i="8"/>
  <c r="C231" i="8" a="1"/>
  <c r="C231" i="8" s="1"/>
  <c r="C232" i="8" a="1"/>
  <c r="C232" i="8"/>
  <c r="C233" i="8" a="1"/>
  <c r="C233" i="8"/>
  <c r="C234" i="8" a="1"/>
  <c r="C234" i="8"/>
  <c r="C235" i="8" a="1"/>
  <c r="C235" i="8"/>
  <c r="C236" i="8" a="1"/>
  <c r="C236" i="8"/>
  <c r="C237" i="8" a="1"/>
  <c r="C237" i="8"/>
  <c r="C238" i="8" a="1"/>
  <c r="C238" i="8"/>
  <c r="C239" i="8" a="1"/>
  <c r="C239" i="8" s="1"/>
  <c r="C240" i="8" a="1"/>
  <c r="C240" i="8"/>
  <c r="C241" i="8" a="1"/>
  <c r="C241" i="8"/>
  <c r="C242" i="8" a="1"/>
  <c r="C242" i="8"/>
  <c r="C243" i="8" a="1"/>
  <c r="C243" i="8"/>
  <c r="C244" i="8" a="1"/>
  <c r="C244" i="8"/>
  <c r="C245" i="8" a="1"/>
  <c r="C245" i="8"/>
  <c r="C246" i="8" a="1"/>
  <c r="C246" i="8"/>
  <c r="C247" i="8" a="1"/>
  <c r="C247" i="8" s="1"/>
  <c r="C248" i="8" a="1"/>
  <c r="C248" i="8"/>
  <c r="C249" i="8" a="1"/>
  <c r="C249" i="8"/>
  <c r="C250" i="8" a="1"/>
  <c r="C250" i="8"/>
  <c r="C251" i="8" a="1"/>
  <c r="C251" i="8"/>
  <c r="C252" i="8" a="1"/>
  <c r="C252" i="8"/>
  <c r="C253" i="8" a="1"/>
  <c r="C253" i="8"/>
  <c r="C254" i="8" a="1"/>
  <c r="C254" i="8"/>
  <c r="C255" i="8" a="1"/>
  <c r="C255" i="8" s="1"/>
  <c r="C256" i="8" a="1"/>
  <c r="C256" i="8"/>
  <c r="C257" i="8" a="1"/>
  <c r="C257" i="8"/>
  <c r="C258" i="8" a="1"/>
  <c r="C258" i="8"/>
  <c r="C259" i="8" a="1"/>
  <c r="C259" i="8"/>
  <c r="C260" i="8" a="1"/>
  <c r="C260" i="8"/>
  <c r="C261" i="8" a="1"/>
  <c r="C261" i="8"/>
  <c r="C262" i="8" a="1"/>
  <c r="C262" i="8"/>
  <c r="C263" i="8" a="1"/>
  <c r="C263" i="8" s="1"/>
  <c r="C264" i="8" a="1"/>
  <c r="C264" i="8"/>
  <c r="C265" i="8" a="1"/>
  <c r="C265" i="8"/>
  <c r="C266" i="8" a="1"/>
  <c r="C266" i="8"/>
  <c r="C267" i="8" a="1"/>
  <c r="C267" i="8"/>
  <c r="C268" i="8" a="1"/>
  <c r="C268" i="8"/>
  <c r="C269" i="8" a="1"/>
  <c r="C269" i="8"/>
  <c r="C270" i="8" a="1"/>
  <c r="C270" i="8"/>
  <c r="C271" i="8" a="1"/>
  <c r="C271" i="8" s="1"/>
  <c r="C272" i="8" a="1"/>
  <c r="C272" i="8"/>
  <c r="C273" i="8" a="1"/>
  <c r="C273" i="8"/>
  <c r="C274" i="8" a="1"/>
  <c r="C274" i="8"/>
  <c r="C275" i="8" a="1"/>
  <c r="C275" i="8"/>
  <c r="C276" i="8" a="1"/>
  <c r="C276" i="8"/>
  <c r="C277" i="8" a="1"/>
  <c r="C277" i="8"/>
  <c r="C278" i="8" a="1"/>
  <c r="C278" i="8"/>
  <c r="C279" i="8" a="1"/>
  <c r="C279" i="8" s="1"/>
  <c r="C280" i="8" a="1"/>
  <c r="C280" i="8"/>
  <c r="C281" i="8" a="1"/>
  <c r="C281" i="8"/>
  <c r="C282" i="8" a="1"/>
  <c r="C282" i="8"/>
  <c r="C283" i="8" a="1"/>
  <c r="C283" i="8"/>
  <c r="C284" i="8" a="1"/>
  <c r="C284" i="8"/>
  <c r="C285" i="8" a="1"/>
  <c r="C285" i="8"/>
  <c r="C286" i="8" a="1"/>
  <c r="C286" i="8"/>
  <c r="C287" i="8" a="1"/>
  <c r="C287" i="8" s="1"/>
  <c r="C288" i="8" a="1"/>
  <c r="C288" i="8"/>
  <c r="C289" i="8" a="1"/>
  <c r="C289" i="8"/>
  <c r="C290" i="8" a="1"/>
  <c r="C290" i="8"/>
  <c r="C291" i="8" a="1"/>
  <c r="C291" i="8"/>
  <c r="C292" i="8" a="1"/>
  <c r="C292" i="8"/>
  <c r="C293" i="8" a="1"/>
  <c r="C293" i="8"/>
  <c r="C294" i="8" a="1"/>
  <c r="C294" i="8"/>
  <c r="C295" i="8" a="1"/>
  <c r="C295" i="8" s="1"/>
  <c r="C296" i="8" a="1"/>
  <c r="C296" i="8"/>
  <c r="C297" i="8" a="1"/>
  <c r="C297" i="8"/>
  <c r="C298" i="8" a="1"/>
  <c r="C298" i="8"/>
  <c r="C299" i="8" a="1"/>
  <c r="C299" i="8"/>
  <c r="C300" i="8" a="1"/>
  <c r="C300" i="8"/>
  <c r="C301" i="8" a="1"/>
  <c r="C301" i="8"/>
  <c r="C302" i="8" a="1"/>
  <c r="C302" i="8"/>
  <c r="C303" i="8" a="1"/>
  <c r="C303" i="8" s="1"/>
  <c r="C304" i="8" a="1"/>
  <c r="C304" i="8"/>
  <c r="C305" i="8" a="1"/>
  <c r="C305" i="8"/>
  <c r="C306" i="8" a="1"/>
  <c r="C306" i="8"/>
  <c r="C307" i="8" a="1"/>
  <c r="C307" i="8"/>
  <c r="C308" i="8" a="1"/>
  <c r="C308" i="8"/>
  <c r="C309" i="8" a="1"/>
  <c r="C309" i="8"/>
  <c r="C310" i="8" a="1"/>
  <c r="C310" i="8"/>
  <c r="C311" i="8" a="1"/>
  <c r="C311" i="8" s="1"/>
  <c r="C312" i="8" a="1"/>
  <c r="C312" i="8"/>
  <c r="C313" i="8" a="1"/>
  <c r="C313" i="8"/>
  <c r="C314" i="8" a="1"/>
  <c r="C314" i="8"/>
  <c r="C315" i="8" a="1"/>
  <c r="C315" i="8"/>
  <c r="C316" i="8" a="1"/>
  <c r="C316" i="8"/>
  <c r="C317" i="8" a="1"/>
  <c r="C317" i="8"/>
  <c r="C318" i="8" a="1"/>
  <c r="C318" i="8"/>
  <c r="C319" i="8" a="1"/>
  <c r="C319" i="8" s="1"/>
  <c r="C320" i="8" a="1"/>
  <c r="C320" i="8"/>
  <c r="C321" i="8" a="1"/>
  <c r="C321" i="8"/>
  <c r="C322" i="8" a="1"/>
  <c r="C322" i="8"/>
  <c r="C323" i="8" a="1"/>
  <c r="C323" i="8"/>
  <c r="C324" i="8" a="1"/>
  <c r="C324" i="8"/>
  <c r="C325" i="8" a="1"/>
  <c r="C325" i="8"/>
  <c r="C326" i="8" a="1"/>
  <c r="C326" i="8"/>
  <c r="C327" i="8" a="1"/>
  <c r="C327" i="8" s="1"/>
  <c r="C328" i="8" a="1"/>
  <c r="C328" i="8"/>
  <c r="C329" i="8" a="1"/>
  <c r="C329" i="8"/>
  <c r="C330" i="8" a="1"/>
  <c r="C330" i="8"/>
  <c r="C331" i="8" a="1"/>
  <c r="C331" i="8"/>
  <c r="C332" i="8" a="1"/>
  <c r="C332" i="8"/>
  <c r="C333" i="8" a="1"/>
  <c r="C333" i="8"/>
  <c r="C334" i="8" a="1"/>
  <c r="C334" i="8"/>
  <c r="C335" i="8" a="1"/>
  <c r="C335" i="8" s="1"/>
  <c r="C336" i="8" a="1"/>
  <c r="C336" i="8"/>
  <c r="C337" i="8" a="1"/>
  <c r="C337" i="8"/>
  <c r="C338" i="8" a="1"/>
  <c r="C338" i="8"/>
  <c r="C339" i="8" a="1"/>
  <c r="C339" i="8"/>
  <c r="C340" i="8" a="1"/>
  <c r="C340" i="8"/>
  <c r="C341" i="8" a="1"/>
  <c r="C341" i="8"/>
  <c r="C342" i="8" a="1"/>
  <c r="C342" i="8"/>
  <c r="C343" i="8" a="1"/>
  <c r="C343" i="8" s="1"/>
  <c r="C344" i="8" a="1"/>
  <c r="C344" i="8"/>
  <c r="C345" i="8" a="1"/>
  <c r="C345" i="8"/>
  <c r="C346" i="8" a="1"/>
  <c r="C346" i="8"/>
  <c r="C347" i="8" a="1"/>
  <c r="C347" i="8"/>
  <c r="C348" i="8" a="1"/>
  <c r="C348" i="8"/>
  <c r="C349" i="8" a="1"/>
  <c r="C349" i="8"/>
  <c r="C350" i="8" a="1"/>
  <c r="C350" i="8"/>
  <c r="C351" i="8" a="1"/>
  <c r="C351" i="8" s="1"/>
  <c r="C352" i="8" a="1"/>
  <c r="C352" i="8"/>
  <c r="C353" i="8" a="1"/>
  <c r="C353" i="8"/>
  <c r="C354" i="8" a="1"/>
  <c r="C354" i="8"/>
  <c r="C355" i="8" a="1"/>
  <c r="C355" i="8"/>
  <c r="C356" i="8" a="1"/>
  <c r="C356" i="8"/>
  <c r="C357" i="8" a="1"/>
  <c r="C357" i="8"/>
  <c r="C358" i="8" a="1"/>
  <c r="C358" i="8"/>
  <c r="C359" i="8" a="1"/>
  <c r="C359" i="8" s="1"/>
  <c r="C360" i="8" a="1"/>
  <c r="C360" i="8"/>
  <c r="C361" i="8" a="1"/>
  <c r="C361" i="8"/>
  <c r="C362" i="8" a="1"/>
  <c r="C362" i="8"/>
  <c r="C363" i="8" a="1"/>
  <c r="C363" i="8"/>
  <c r="C364" i="8" a="1"/>
  <c r="C364" i="8"/>
  <c r="C365" i="8" a="1"/>
  <c r="C365" i="8"/>
  <c r="C366" i="8" a="1"/>
  <c r="C366" i="8"/>
  <c r="C367" i="8" a="1"/>
  <c r="C367" i="8" s="1"/>
  <c r="C368" i="8" a="1"/>
  <c r="C368" i="8"/>
  <c r="C369" i="8" a="1"/>
  <c r="C369" i="8"/>
  <c r="C370" i="8" a="1"/>
  <c r="C370" i="8"/>
  <c r="C371" i="8" a="1"/>
  <c r="C371" i="8"/>
  <c r="C372" i="8" a="1"/>
  <c r="C372" i="8"/>
  <c r="C373" i="8" a="1"/>
  <c r="C373" i="8"/>
  <c r="C374" i="8" a="1"/>
  <c r="C374" i="8"/>
  <c r="C375" i="8" a="1"/>
  <c r="C375" i="8" s="1"/>
  <c r="C376" i="8" a="1"/>
  <c r="C376" i="8"/>
  <c r="C377" i="8" a="1"/>
  <c r="C377" i="8"/>
  <c r="C378" i="8" a="1"/>
  <c r="C378" i="8"/>
  <c r="C379" i="8" a="1"/>
  <c r="C379" i="8"/>
  <c r="C380" i="8" a="1"/>
  <c r="C380" i="8"/>
  <c r="C381" i="8" a="1"/>
  <c r="C381" i="8"/>
  <c r="C382" i="8" a="1"/>
  <c r="C382" i="8"/>
  <c r="C383" i="8" a="1"/>
  <c r="C383" i="8" s="1"/>
  <c r="C384" i="8" a="1"/>
  <c r="C384" i="8"/>
  <c r="C385" i="8" a="1"/>
  <c r="C385" i="8"/>
  <c r="C386" i="8" a="1"/>
  <c r="C386" i="8"/>
  <c r="C387" i="8" a="1"/>
  <c r="C387" i="8"/>
  <c r="C388" i="8" a="1"/>
  <c r="C388" i="8"/>
  <c r="C389" i="8" a="1"/>
  <c r="C389" i="8"/>
  <c r="C390" i="8" a="1"/>
  <c r="C390" i="8"/>
  <c r="C391" i="8" a="1"/>
  <c r="C391" i="8" s="1"/>
  <c r="C392" i="8" a="1"/>
  <c r="C392" i="8"/>
  <c r="C393" i="8" a="1"/>
  <c r="C393" i="8"/>
  <c r="C394" i="8" a="1"/>
  <c r="C394" i="8"/>
  <c r="C395" i="8" a="1"/>
  <c r="C395" i="8"/>
  <c r="C396" i="8" a="1"/>
  <c r="C396" i="8"/>
  <c r="C397" i="8" a="1"/>
  <c r="C397" i="8"/>
  <c r="C398" i="8" a="1"/>
  <c r="C398" i="8"/>
  <c r="C399" i="8" a="1"/>
  <c r="C399" i="8" s="1"/>
  <c r="C400" i="8" a="1"/>
  <c r="C400" i="8"/>
  <c r="C401" i="8" a="1"/>
  <c r="C401" i="8"/>
  <c r="C402" i="8" a="1"/>
  <c r="C402" i="8"/>
  <c r="C403" i="8" a="1"/>
  <c r="C403" i="8"/>
  <c r="C404" i="8" a="1"/>
  <c r="C404" i="8"/>
  <c r="C405" i="8" a="1"/>
  <c r="C405" i="8"/>
  <c r="C406" i="8" a="1"/>
  <c r="C406" i="8"/>
  <c r="C407" i="8" a="1"/>
  <c r="C407" i="8" s="1"/>
  <c r="C408" i="8" a="1"/>
  <c r="C408" i="8"/>
  <c r="C409" i="8" a="1"/>
  <c r="C409" i="8"/>
  <c r="C410" i="8" a="1"/>
  <c r="C410" i="8"/>
  <c r="C411" i="8" a="1"/>
  <c r="C411" i="8"/>
  <c r="C412" i="8" a="1"/>
  <c r="C412" i="8"/>
  <c r="C413" i="8" a="1"/>
  <c r="C413" i="8"/>
  <c r="C414" i="8" a="1"/>
  <c r="C414" i="8"/>
  <c r="C415" i="8" a="1"/>
  <c r="C415" i="8" s="1"/>
  <c r="C416" i="8" a="1"/>
  <c r="C416" i="8"/>
  <c r="C417" i="8" a="1"/>
  <c r="C417" i="8"/>
  <c r="C418" i="8" a="1"/>
  <c r="C418" i="8"/>
  <c r="C419" i="8" a="1"/>
  <c r="C419" i="8"/>
  <c r="C420" i="8" a="1"/>
  <c r="C420" i="8"/>
  <c r="C421" i="8" a="1"/>
  <c r="C421" i="8"/>
  <c r="C422" i="8" a="1"/>
  <c r="C422" i="8"/>
  <c r="C423" i="8" a="1"/>
  <c r="C423" i="8" s="1"/>
  <c r="C424" i="8" a="1"/>
  <c r="C424" i="8"/>
  <c r="C425" i="8" a="1"/>
  <c r="C425" i="8"/>
  <c r="C426" i="8" a="1"/>
  <c r="C426" i="8"/>
  <c r="C427" i="8" a="1"/>
  <c r="C427" i="8"/>
  <c r="C428" i="8" a="1"/>
  <c r="C428" i="8"/>
  <c r="C429" i="8" a="1"/>
  <c r="C429" i="8"/>
  <c r="C430" i="8" a="1"/>
  <c r="C430" i="8"/>
  <c r="C431" i="8" a="1"/>
  <c r="C431" i="8" s="1"/>
  <c r="C432" i="8" a="1"/>
  <c r="C432" i="8"/>
  <c r="C433" i="8" a="1"/>
  <c r="C433" i="8"/>
  <c r="C434" i="8" a="1"/>
  <c r="C434" i="8"/>
  <c r="C435" i="8" a="1"/>
  <c r="C435" i="8"/>
  <c r="C436" i="8" a="1"/>
  <c r="C436" i="8"/>
  <c r="C437" i="8" a="1"/>
  <c r="C437" i="8"/>
  <c r="C438" i="8" a="1"/>
  <c r="C438" i="8"/>
  <c r="C439" i="8" a="1"/>
  <c r="C439" i="8" s="1"/>
  <c r="C440" i="8" a="1"/>
  <c r="C440" i="8"/>
  <c r="C441" i="8" a="1"/>
  <c r="C441" i="8"/>
  <c r="C442" i="8" a="1"/>
  <c r="C442" i="8"/>
  <c r="C443" i="8" a="1"/>
  <c r="C443" i="8"/>
  <c r="C444" i="8" a="1"/>
  <c r="C444" i="8"/>
  <c r="C445" i="8" a="1"/>
  <c r="C445" i="8"/>
  <c r="C446" i="8" a="1"/>
  <c r="C446" i="8"/>
  <c r="C447" i="8" a="1"/>
  <c r="C447" i="8" s="1"/>
  <c r="C448" i="8" a="1"/>
  <c r="C448" i="8"/>
  <c r="C449" i="8" a="1"/>
  <c r="C449" i="8"/>
  <c r="C450" i="8" a="1"/>
  <c r="C450" i="8"/>
  <c r="C451" i="8" a="1"/>
  <c r="C451" i="8"/>
  <c r="C452" i="8" a="1"/>
  <c r="C452" i="8"/>
  <c r="C453" i="8" a="1"/>
  <c r="C453" i="8"/>
  <c r="C454" i="8" a="1"/>
  <c r="C454" i="8"/>
  <c r="C455" i="8" a="1"/>
  <c r="C455" i="8" s="1"/>
  <c r="C456" i="8" a="1"/>
  <c r="C456" i="8"/>
  <c r="C457" i="8" a="1"/>
  <c r="C457" i="8"/>
  <c r="C458" i="8" a="1"/>
  <c r="C458" i="8"/>
  <c r="C459" i="8" a="1"/>
  <c r="C459" i="8"/>
  <c r="C460" i="8" a="1"/>
  <c r="C460" i="8"/>
  <c r="C461" i="8" a="1"/>
  <c r="C461" i="8"/>
  <c r="C462" i="8" a="1"/>
  <c r="C462" i="8"/>
  <c r="C463" i="8" a="1"/>
  <c r="C463" i="8" s="1"/>
  <c r="C464" i="8" a="1"/>
  <c r="C464" i="8"/>
  <c r="C465" i="8" a="1"/>
  <c r="C465" i="8"/>
  <c r="C466" i="8" a="1"/>
  <c r="C466" i="8"/>
  <c r="C467" i="8" a="1"/>
  <c r="C467" i="8"/>
  <c r="C468" i="8" a="1"/>
  <c r="C468" i="8"/>
  <c r="C469" i="8" a="1"/>
  <c r="C469" i="8"/>
  <c r="C470" i="8" a="1"/>
  <c r="C470" i="8"/>
  <c r="C471" i="8" a="1"/>
  <c r="C471" i="8" s="1"/>
  <c r="C472" i="8" a="1"/>
  <c r="C472" i="8"/>
  <c r="C473" i="8" a="1"/>
  <c r="C473" i="8"/>
  <c r="C474" i="8" a="1"/>
  <c r="C474" i="8"/>
  <c r="C475" i="8" a="1"/>
  <c r="C475" i="8"/>
  <c r="C476" i="8" a="1"/>
  <c r="C476" i="8"/>
  <c r="C477" i="8" a="1"/>
  <c r="C477" i="8"/>
  <c r="C478" i="8" a="1"/>
  <c r="C478" i="8"/>
  <c r="C479" i="8" a="1"/>
  <c r="C479" i="8" s="1"/>
  <c r="C480" i="8" a="1"/>
  <c r="C480" i="8"/>
  <c r="C481" i="8" a="1"/>
  <c r="C481" i="8"/>
  <c r="C482" i="8" a="1"/>
  <c r="C482" i="8"/>
  <c r="C483" i="8" a="1"/>
  <c r="C483" i="8"/>
  <c r="C484" i="8" a="1"/>
  <c r="C484" i="8"/>
  <c r="C485" i="8" a="1"/>
  <c r="C485" i="8"/>
  <c r="C486" i="8" a="1"/>
  <c r="C486" i="8"/>
  <c r="C487" i="8" a="1"/>
  <c r="C487" i="8" s="1"/>
  <c r="C488" i="8" a="1"/>
  <c r="C488" i="8"/>
  <c r="C489" i="8" a="1"/>
  <c r="C489" i="8"/>
  <c r="C490" i="8" a="1"/>
  <c r="C490" i="8"/>
  <c r="C491" i="8" a="1"/>
  <c r="C491" i="8"/>
  <c r="C492" i="8" a="1"/>
  <c r="C492" i="8"/>
  <c r="C493" i="8" a="1"/>
  <c r="C493" i="8"/>
  <c r="C494" i="8" a="1"/>
  <c r="C494" i="8"/>
  <c r="C495" i="8" a="1"/>
  <c r="C495" i="8" s="1"/>
  <c r="C496" i="8" a="1"/>
  <c r="C496" i="8"/>
  <c r="C497" i="8" a="1"/>
  <c r="C497" i="8"/>
  <c r="C498" i="8" a="1"/>
  <c r="C498" i="8"/>
  <c r="C499" i="8" a="1"/>
  <c r="C499" i="8"/>
  <c r="C500" i="8" a="1"/>
  <c r="C500" i="8"/>
  <c r="C501" i="8" a="1"/>
  <c r="C501" i="8"/>
  <c r="C502" i="8" a="1"/>
  <c r="C502" i="8"/>
  <c r="C503" i="8" a="1"/>
  <c r="C503" i="8" s="1"/>
  <c r="C504" i="8" a="1"/>
  <c r="C504" i="8"/>
  <c r="C505" i="8" a="1"/>
  <c r="C505" i="8"/>
  <c r="C506" i="8" a="1"/>
  <c r="C506" i="8"/>
  <c r="C507" i="8" a="1"/>
  <c r="C507" i="8"/>
  <c r="C508" i="8" a="1"/>
  <c r="C508" i="8"/>
  <c r="C509" i="8" a="1"/>
  <c r="C509" i="8"/>
  <c r="C510" i="8" a="1"/>
  <c r="C510" i="8"/>
  <c r="C511" i="8" a="1"/>
  <c r="C511" i="8" s="1"/>
  <c r="C512" i="8" a="1"/>
  <c r="C512" i="8"/>
  <c r="C513" i="8" a="1"/>
  <c r="C513" i="8"/>
  <c r="C514" i="8" a="1"/>
  <c r="C514" i="8"/>
  <c r="C515" i="8" a="1"/>
  <c r="C515" i="8"/>
  <c r="C516" i="8" a="1"/>
  <c r="C516" i="8"/>
  <c r="C517" i="8" a="1"/>
  <c r="C517" i="8"/>
  <c r="C518" i="8" a="1"/>
  <c r="C518" i="8"/>
  <c r="C519" i="8" a="1"/>
  <c r="C519" i="8" s="1"/>
  <c r="C520" i="8" a="1"/>
  <c r="C520" i="8"/>
  <c r="C521" i="8" a="1"/>
  <c r="C521" i="8"/>
  <c r="C522" i="8" a="1"/>
  <c r="C522" i="8"/>
  <c r="C523" i="8" a="1"/>
  <c r="C523" i="8"/>
  <c r="C524" i="8" a="1"/>
  <c r="C524" i="8"/>
  <c r="C525" i="8" a="1"/>
  <c r="C525" i="8"/>
  <c r="C526" i="8" a="1"/>
  <c r="C526" i="8"/>
  <c r="C527" i="8" a="1"/>
  <c r="C527" i="8" s="1"/>
  <c r="C528" i="8" a="1"/>
  <c r="C528" i="8"/>
  <c r="C529" i="8" a="1"/>
  <c r="C529" i="8"/>
  <c r="C530" i="8" a="1"/>
  <c r="C530" i="8"/>
  <c r="C531" i="8" a="1"/>
  <c r="C531" i="8"/>
  <c r="C532" i="8" a="1"/>
  <c r="C532" i="8"/>
  <c r="C533" i="8" a="1"/>
  <c r="C533" i="8"/>
  <c r="C534" i="8" a="1"/>
  <c r="C534" i="8"/>
  <c r="C535" i="8" a="1"/>
  <c r="C535" i="8" s="1"/>
  <c r="C536" i="8" a="1"/>
  <c r="C536" i="8"/>
  <c r="C537" i="8" a="1"/>
  <c r="C537" i="8"/>
  <c r="C538" i="8" a="1"/>
  <c r="C538" i="8"/>
  <c r="C539" i="8" a="1"/>
  <c r="C539" i="8"/>
  <c r="C540" i="8" a="1"/>
  <c r="C540" i="8"/>
  <c r="C541" i="8" a="1"/>
  <c r="C541" i="8"/>
  <c r="C542" i="8" a="1"/>
  <c r="C542" i="8"/>
  <c r="C543" i="8" a="1"/>
  <c r="C543" i="8" s="1"/>
  <c r="C544" i="8" a="1"/>
  <c r="C544" i="8"/>
  <c r="C545" i="8" a="1"/>
  <c r="C545" i="8"/>
  <c r="C546" i="8" a="1"/>
  <c r="C546" i="8"/>
  <c r="C547" i="8" a="1"/>
  <c r="C547" i="8"/>
  <c r="C548" i="8" a="1"/>
  <c r="C548" i="8"/>
  <c r="C549" i="8" a="1"/>
  <c r="C549" i="8"/>
  <c r="C550" i="8" a="1"/>
  <c r="C550" i="8"/>
  <c r="C551" i="8" a="1"/>
  <c r="C551" i="8" s="1"/>
  <c r="C552" i="8" a="1"/>
  <c r="C552" i="8"/>
  <c r="C553" i="8" a="1"/>
  <c r="C553" i="8"/>
  <c r="C554" i="8" a="1"/>
  <c r="C554" i="8"/>
  <c r="C555" i="8" a="1"/>
  <c r="C555" i="8"/>
  <c r="C556" i="8" a="1"/>
  <c r="C556" i="8"/>
  <c r="C557" i="8" a="1"/>
  <c r="C557" i="8"/>
  <c r="C558" i="8" a="1"/>
  <c r="C558" i="8"/>
  <c r="C559" i="8" a="1"/>
  <c r="C559" i="8" s="1"/>
  <c r="C560" i="8" a="1"/>
  <c r="C560" i="8"/>
  <c r="C561" i="8" a="1"/>
  <c r="C561" i="8"/>
  <c r="C562" i="8" a="1"/>
  <c r="C562" i="8"/>
  <c r="C563" i="8" a="1"/>
  <c r="C563" i="8"/>
  <c r="C564" i="8" a="1"/>
  <c r="C564" i="8"/>
  <c r="C565" i="8" a="1"/>
  <c r="C565" i="8"/>
  <c r="C566" i="8" a="1"/>
  <c r="C566" i="8"/>
  <c r="C567" i="8" a="1"/>
  <c r="C567" i="8" s="1"/>
  <c r="C568" i="8" a="1"/>
  <c r="C568" i="8"/>
  <c r="C569" i="8" a="1"/>
  <c r="C569" i="8"/>
  <c r="C570" i="8" a="1"/>
  <c r="C570" i="8"/>
  <c r="C571" i="8" a="1"/>
  <c r="C571" i="8"/>
  <c r="C572" i="8" a="1"/>
  <c r="C572" i="8"/>
  <c r="C573" i="8" a="1"/>
  <c r="C573" i="8"/>
  <c r="C574" i="8" a="1"/>
  <c r="C574" i="8"/>
  <c r="C575" i="8" a="1"/>
  <c r="C575" i="8" s="1"/>
  <c r="C576" i="8" a="1"/>
  <c r="C576" i="8"/>
  <c r="C577" i="8" a="1"/>
  <c r="C577" i="8"/>
  <c r="C578" i="8" a="1"/>
  <c r="C578" i="8"/>
  <c r="C579" i="8" a="1"/>
  <c r="C579" i="8"/>
  <c r="C580" i="8" a="1"/>
  <c r="C580" i="8"/>
  <c r="C581" i="8" a="1"/>
  <c r="C581" i="8"/>
  <c r="C582" i="8" a="1"/>
  <c r="C582" i="8"/>
  <c r="C583" i="8" a="1"/>
  <c r="C583" i="8" s="1"/>
  <c r="C584" i="8" a="1"/>
  <c r="C584" i="8"/>
  <c r="C585" i="8" a="1"/>
  <c r="C585" i="8"/>
  <c r="C586" i="8" a="1"/>
  <c r="C586" i="8"/>
  <c r="C587" i="8" a="1"/>
  <c r="C587" i="8"/>
  <c r="C588" i="8" a="1"/>
  <c r="C588" i="8"/>
  <c r="C589" i="8" a="1"/>
  <c r="C589" i="8"/>
  <c r="C590" i="8" a="1"/>
  <c r="C590" i="8"/>
  <c r="C591" i="8" a="1"/>
  <c r="C591" i="8" s="1"/>
  <c r="C592" i="8" a="1"/>
  <c r="C592" i="8"/>
  <c r="C593" i="8" a="1"/>
  <c r="C593" i="8"/>
  <c r="C594" i="8" a="1"/>
  <c r="C594" i="8"/>
  <c r="C595" i="8" a="1"/>
  <c r="C595" i="8"/>
  <c r="C596" i="8" a="1"/>
  <c r="C596" i="8"/>
  <c r="C597" i="8" a="1"/>
  <c r="C597" i="8"/>
  <c r="C598" i="8" a="1"/>
  <c r="C598" i="8"/>
  <c r="C599" i="8" a="1"/>
  <c r="C599" i="8" s="1"/>
  <c r="C600" i="8" a="1"/>
  <c r="C600" i="8"/>
  <c r="C601" i="8" a="1"/>
  <c r="C601" i="8"/>
  <c r="C602" i="8" a="1"/>
  <c r="C602" i="8"/>
  <c r="C603" i="8" a="1"/>
  <c r="C603" i="8"/>
  <c r="C604" i="8" a="1"/>
  <c r="C604" i="8"/>
  <c r="C605" i="8" a="1"/>
  <c r="C605" i="8"/>
  <c r="C606" i="8" a="1"/>
  <c r="C606" i="8"/>
  <c r="C607" i="8" a="1"/>
  <c r="C607" i="8" s="1"/>
  <c r="C608" i="8" a="1"/>
  <c r="C608" i="8"/>
  <c r="C609" i="8" a="1"/>
  <c r="C609" i="8"/>
  <c r="C610" i="8" a="1"/>
  <c r="C610" i="8"/>
  <c r="C611" i="8" a="1"/>
  <c r="C611" i="8"/>
  <c r="C612" i="8" a="1"/>
  <c r="C612" i="8"/>
  <c r="C613" i="8" a="1"/>
  <c r="C613" i="8"/>
  <c r="C614" i="8" a="1"/>
  <c r="C614" i="8"/>
  <c r="C615" i="8" a="1"/>
  <c r="C615" i="8" s="1"/>
  <c r="C616" i="8" a="1"/>
  <c r="C616" i="8"/>
  <c r="C617" i="8" a="1"/>
  <c r="C617" i="8"/>
  <c r="C618" i="8" a="1"/>
  <c r="C618" i="8"/>
  <c r="C619" i="8" a="1"/>
  <c r="C619" i="8"/>
  <c r="C620" i="8" a="1"/>
  <c r="C620" i="8"/>
  <c r="C621" i="8" a="1"/>
  <c r="C621" i="8"/>
  <c r="C622" i="8" a="1"/>
  <c r="C622" i="8"/>
  <c r="C623" i="8" a="1"/>
  <c r="C623" i="8" s="1"/>
  <c r="C624" i="8" a="1"/>
  <c r="C624" i="8"/>
  <c r="C625" i="8" a="1"/>
  <c r="C625" i="8"/>
  <c r="C626" i="8" a="1"/>
  <c r="C626" i="8"/>
  <c r="C627" i="8" a="1"/>
  <c r="C627" i="8"/>
  <c r="C628" i="8" a="1"/>
  <c r="C628" i="8"/>
  <c r="C629" i="8" a="1"/>
  <c r="C629" i="8"/>
  <c r="C630" i="8" a="1"/>
  <c r="C630" i="8"/>
  <c r="C631" i="8" a="1"/>
  <c r="C631" i="8" s="1"/>
  <c r="C632" i="8" a="1"/>
  <c r="C632" i="8"/>
  <c r="C633" i="8" a="1"/>
  <c r="C633" i="8"/>
  <c r="C634" i="8" a="1"/>
  <c r="C634" i="8"/>
  <c r="C635" i="8" a="1"/>
  <c r="C635" i="8"/>
  <c r="C636" i="8" a="1"/>
  <c r="C636" i="8"/>
  <c r="C637" i="8" a="1"/>
  <c r="C637" i="8"/>
  <c r="C638" i="8" a="1"/>
  <c r="C638" i="8"/>
  <c r="C639" i="8" a="1"/>
  <c r="C639" i="8" s="1"/>
  <c r="C640" i="8" a="1"/>
  <c r="C640" i="8"/>
  <c r="C641" i="8" a="1"/>
  <c r="C641" i="8"/>
  <c r="C642" i="8" a="1"/>
  <c r="C642" i="8"/>
  <c r="C643" i="8" a="1"/>
  <c r="C643" i="8"/>
  <c r="C644" i="8" a="1"/>
  <c r="C644" i="8"/>
  <c r="C645" i="8" a="1"/>
  <c r="C645" i="8"/>
  <c r="C646" i="8" a="1"/>
  <c r="C646" i="8"/>
  <c r="C647" i="8" a="1"/>
  <c r="C647" i="8" s="1"/>
  <c r="C648" i="8" a="1"/>
  <c r="C648" i="8"/>
  <c r="C649" i="8" a="1"/>
  <c r="C649" i="8"/>
  <c r="C650" i="8" a="1"/>
  <c r="C650" i="8"/>
  <c r="C651" i="8" a="1"/>
  <c r="C651" i="8"/>
  <c r="C652" i="8" a="1"/>
  <c r="C652" i="8"/>
  <c r="C653" i="8" a="1"/>
  <c r="C653" i="8"/>
  <c r="C654" i="8" a="1"/>
  <c r="C654" i="8"/>
  <c r="C655" i="8" a="1"/>
  <c r="C655" i="8" s="1"/>
  <c r="C656" i="8" a="1"/>
  <c r="C656" i="8"/>
  <c r="C657" i="8" a="1"/>
  <c r="C657" i="8"/>
  <c r="C658" i="8" a="1"/>
  <c r="C658" i="8"/>
  <c r="C659" i="8" a="1"/>
  <c r="C659" i="8"/>
  <c r="C660" i="8" a="1"/>
  <c r="C660" i="8"/>
  <c r="C661" i="8" a="1"/>
  <c r="C661" i="8"/>
  <c r="C662" i="8" a="1"/>
  <c r="C662" i="8"/>
  <c r="C663" i="8" a="1"/>
  <c r="C663" i="8" s="1"/>
  <c r="C664" i="8" a="1"/>
  <c r="C664" i="8"/>
  <c r="C665" i="8" a="1"/>
  <c r="C665" i="8"/>
  <c r="C666" i="8" a="1"/>
  <c r="C666" i="8"/>
  <c r="C667" i="8" a="1"/>
  <c r="C667" i="8"/>
  <c r="C668" i="8" a="1"/>
  <c r="C668" i="8"/>
  <c r="C669" i="8" a="1"/>
  <c r="C669" i="8"/>
  <c r="C670" i="8" a="1"/>
  <c r="C670" i="8"/>
  <c r="C671" i="8" a="1"/>
  <c r="C671" i="8" s="1"/>
  <c r="C672" i="8" a="1"/>
  <c r="C672" i="8"/>
  <c r="C673" i="8" a="1"/>
  <c r="C673" i="8"/>
  <c r="C674" i="8" a="1"/>
  <c r="C674" i="8"/>
  <c r="C675" i="8" a="1"/>
  <c r="C675" i="8"/>
  <c r="C676" i="8" a="1"/>
  <c r="C676" i="8"/>
  <c r="C677" i="8" a="1"/>
  <c r="C677" i="8"/>
  <c r="C678" i="8" a="1"/>
  <c r="C678" i="8"/>
  <c r="C679" i="8" a="1"/>
  <c r="C679" i="8" s="1"/>
  <c r="C680" i="8" a="1"/>
  <c r="C680" i="8"/>
  <c r="C681" i="8" a="1"/>
  <c r="C681" i="8"/>
  <c r="C682" i="8" a="1"/>
  <c r="C682" i="8"/>
  <c r="C683" i="8" a="1"/>
  <c r="C683" i="8"/>
  <c r="C684" i="8" a="1"/>
  <c r="C684" i="8"/>
  <c r="C685" i="8" a="1"/>
  <c r="C685" i="8"/>
  <c r="C686" i="8" a="1"/>
  <c r="C686" i="8"/>
  <c r="C687" i="8" a="1"/>
  <c r="C687" i="8" s="1"/>
  <c r="C688" i="8" a="1"/>
  <c r="C688" i="8"/>
  <c r="C689" i="8" a="1"/>
  <c r="C689" i="8"/>
  <c r="C690" i="8" a="1"/>
  <c r="C690" i="8"/>
  <c r="C691" i="8" a="1"/>
  <c r="C691" i="8"/>
  <c r="C692" i="8" a="1"/>
  <c r="C692" i="8"/>
  <c r="C693" i="8" a="1"/>
  <c r="C693" i="8"/>
  <c r="C694" i="8" a="1"/>
  <c r="C694" i="8"/>
  <c r="C695" i="8" a="1"/>
  <c r="C695" i="8" s="1"/>
  <c r="C696" i="8" a="1"/>
  <c r="C696" i="8"/>
  <c r="C697" i="8" a="1"/>
  <c r="C697" i="8"/>
  <c r="C698" i="8" a="1"/>
  <c r="C698" i="8"/>
  <c r="C699" i="8" a="1"/>
  <c r="C699" i="8"/>
  <c r="C700" i="8" a="1"/>
  <c r="C700" i="8"/>
  <c r="C701" i="8" a="1"/>
  <c r="C701" i="8"/>
  <c r="C28" i="8" a="1"/>
  <c r="C28" i="8" s="1"/>
  <c r="C27" i="8" a="1"/>
  <c r="C27" i="8" s="1"/>
  <c r="C26" i="8" a="1"/>
  <c r="C26" i="8"/>
  <c r="C25" i="8" a="1"/>
  <c r="C25" i="8"/>
  <c r="C24" i="8" a="1"/>
  <c r="C24" i="8"/>
  <c r="C23" i="8" a="1"/>
  <c r="C23" i="8"/>
  <c r="C22" i="8" a="1"/>
  <c r="C22" i="8"/>
  <c r="C21" i="8" a="1"/>
  <c r="C21" i="8"/>
  <c r="C20" i="8" a="1"/>
  <c r="C20" i="8" s="1"/>
  <c r="C19" i="8" a="1"/>
  <c r="C19" i="8"/>
  <c r="C18" i="8" a="1"/>
  <c r="C18" i="8"/>
  <c r="C17" i="8" a="1"/>
  <c r="C17" i="8"/>
  <c r="C16" i="8" a="1"/>
  <c r="C16" i="8"/>
  <c r="C15" i="8" a="1"/>
  <c r="C15" i="8"/>
  <c r="C14" i="8" a="1"/>
  <c r="C14" i="8"/>
  <c r="C13" i="8" a="1"/>
  <c r="C13" i="8"/>
  <c r="C12" i="8" a="1"/>
  <c r="C12" i="8" s="1"/>
  <c r="C11" i="8" a="1"/>
  <c r="C11" i="8"/>
  <c r="C10" i="8" a="1"/>
  <c r="C10" i="8"/>
  <c r="C9" i="8" a="1"/>
  <c r="C9" i="8"/>
  <c r="C8" i="8" a="1"/>
  <c r="C8" i="8"/>
  <c r="C7" i="8" a="1"/>
  <c r="C7" i="8"/>
  <c r="C6" i="8" a="1"/>
  <c r="C6" i="8"/>
  <c r="C5" i="8" a="1"/>
  <c r="C5" i="8"/>
  <c r="C4" i="8" a="1"/>
  <c r="C4" i="8" s="1"/>
  <c r="C3" i="8" a="1"/>
  <c r="C3" i="8"/>
  <c r="C2" i="8" a="1"/>
  <c r="C2" i="8" s="1"/>
  <c r="K8" i="8" a="1"/>
  <c r="K8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2" i="8"/>
  <c r="A2" i="8" a="1"/>
  <c r="A2" i="8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A2" i="7" a="1"/>
  <c r="A2" i="7" s="1"/>
  <c r="B2" i="7"/>
  <c r="B24" i="9"/>
  <c r="B25" i="9"/>
  <c r="B26" i="9"/>
  <c r="B11" i="9"/>
  <c r="B12" i="9"/>
  <c r="B13" i="9"/>
  <c r="B14" i="9"/>
  <c r="E8" i="7"/>
  <c r="D14" i="7"/>
  <c r="E9" i="7"/>
  <c r="D15" i="7"/>
  <c r="E10" i="7"/>
  <c r="E11" i="7"/>
  <c r="E12" i="7"/>
  <c r="E13" i="7"/>
  <c r="E14" i="7"/>
  <c r="E15" i="7"/>
  <c r="D6" i="7"/>
  <c r="D8" i="7"/>
  <c r="D9" i="7"/>
  <c r="D10" i="7"/>
  <c r="D11" i="7"/>
  <c r="D12" i="7"/>
  <c r="E7" i="7"/>
  <c r="D13" i="7"/>
  <c r="B15" i="9"/>
  <c r="B16" i="9"/>
  <c r="B19" i="9"/>
  <c r="B17" i="9"/>
  <c r="B18" i="9"/>
  <c r="B20" i="9"/>
  <c r="B21" i="9"/>
  <c r="B22" i="9"/>
  <c r="B23" i="9"/>
  <c r="D7" i="7"/>
  <c r="E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<sst xmlns="http://schemas.openxmlformats.org/spreadsheetml/2006/main" count="4269" uniqueCount="78">
  <si>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</si>
  <si>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</si>
  <si>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</si>
  <si>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</si>
  <si>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</si>
  <si>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</si>
  <si>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</si>
  <si>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</si>
  <si>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</si>
  <si>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</si>
  <si>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</si>
  <si>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</si>
  <si>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</si>
  <si>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</si>
  <si>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</si>
  <si>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</si>
  <si>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</si>
  <si>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</si>
  <si>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</si>
  <si>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</si>
  <si>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</si>
  <si>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</si>
  <si>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</si>
  <si>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</si>
  <si>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</si>
  <si>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</si>
  <si>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</si>
  <si>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</si>
  <si>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</si>
  <si>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</si>
  <si>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</si>
  <si>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</si>
  <si>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</si>
  <si>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</si>
  <si>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</si>
  <si>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</si>
  <si>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</si>
  <si>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</si>
  <si>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</si>
  <si>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</si>
  <si>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</si>
  <si>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</si>
  <si>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</si>
  <si>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</si>
  <si>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</si>
  <si>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</si>
  <si>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</si>
  <si>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</si>
  <si>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</si>
  <si>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</si>
  <si>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Columns</t>
  </si>
  <si>
    <t>No. Of Missing values</t>
  </si>
  <si>
    <t>Negative Values</t>
  </si>
  <si>
    <t>Yes</t>
  </si>
  <si>
    <t>no</t>
  </si>
  <si>
    <t>MIN Values</t>
  </si>
  <si>
    <t>MAX Values</t>
  </si>
  <si>
    <t>-</t>
  </si>
  <si>
    <t>Record</t>
  </si>
  <si>
    <t>TEST A: Gross Sales Check</t>
  </si>
  <si>
    <t>TEST B: Sales Check</t>
  </si>
  <si>
    <t>TEST C: Profit Reconcillation</t>
  </si>
  <si>
    <t>Test</t>
  </si>
  <si>
    <t>Result</t>
  </si>
  <si>
    <t>Total Rows</t>
  </si>
  <si>
    <t>Unique Dates</t>
  </si>
  <si>
    <t>Unique Product-Country-Segment Combinations</t>
  </si>
  <si>
    <t>Added DATE Column</t>
  </si>
  <si>
    <t>Added DISCOUNT BAND column</t>
  </si>
  <si>
    <t>Added SALE PRICE column</t>
  </si>
  <si>
    <t>Column</t>
  </si>
  <si>
    <t>No. of Unique Values</t>
  </si>
  <si>
    <t>min date</t>
  </si>
  <si>
    <t>max date</t>
  </si>
  <si>
    <t>sorted dates</t>
  </si>
  <si>
    <t>Total sales</t>
  </si>
  <si>
    <t>Profit Margin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</si>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</sst>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[$-14009]d\.m\.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quotePrefix="1"/>
    <xf numFmtId="49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Data" displayName="FinancialData" ref="A1:P701" totalsRowShown="0" headerRowDxfId="14" dataDxfId="13" headerRowCellStyle="Currency" dataCellStyle="Currency">
  <autoFilter ref="A1:P701" xr:uid="{00000000-000C-0000-FFFF-FFFF00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59FC349-5E15-46D6-9F90-510C33517952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a39ba74-1dac-4d44-952b-12af24976e4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8193D98-DE13-47D5-85D4-35EB5EABFFFB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opLeftCell="G1" zoomScale="85" zoomScaleNormal="85" workbookViewId="0">
      <selection activeCell="S12" sqref="S1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33.77734375" style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37.3320312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19.88671875" style="2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13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13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0229-06A0-4C04-9032-9688F316AF46}">
  <dimension ref="A1:E17"/>
  <sheetViews>
    <sheetView workbookViewId="0">
      <selection activeCell="A2" sqref="A2"/>
    </sheetView>
  </sheetViews>
  <sheetFormatPr defaultRowHeight="14.4" x14ac:dyDescent="0.3"/>
  <cols>
    <col min="1" max="1" width="39.44140625" customWidth="1"/>
    <col min="2" max="2" width="18.88671875" customWidth="1"/>
    <col min="3" max="3" width="15.109375" style="10" customWidth="1"/>
    <col min="4" max="4" width="11.88671875" style="10" customWidth="1"/>
    <col min="5" max="5" width="19.33203125" style="10" customWidth="1"/>
  </cols>
  <sheetData>
    <row r="1" spans="1:5" x14ac:dyDescent="0.3">
      <c r="A1" t="s">
        <v>50</v>
      </c>
      <c r="B1" t="s">
        <v>51</v>
      </c>
      <c r="C1" s="10" t="s">
        <v>52</v>
      </c>
      <c r="D1" s="10" t="s">
        <v>55</v>
      </c>
      <c r="E1" s="10" t="s">
        <v>56</v>
      </c>
    </row>
    <row r="2" spans="1:5" x14ac:dyDescent="0.3">
      <c r="A2" t="str" cm="1">
        <f t="array" ref="A2:A17">TRANSPOSE(FinancialData[#Headers])</f>
        <v>Segment</v>
      </c>
      <c r="B2">
        <f>COUNTBLANK(FinancialData[Segment])</f>
        <v>0</v>
      </c>
      <c r="C2" s="10" t="s">
        <v>54</v>
      </c>
      <c r="D2" s="10" t="s">
        <v>57</v>
      </c>
      <c r="E2" s="10" t="s">
        <v>57</v>
      </c>
    </row>
    <row r="3" spans="1:5" x14ac:dyDescent="0.3">
      <c r="A3" t="str">
        <v>Country</v>
      </c>
      <c r="B3">
        <f>COUNTBLANK(FinancialData[Segment])</f>
        <v>0</v>
      </c>
      <c r="C3" s="10" t="s">
        <v>54</v>
      </c>
      <c r="D3" s="10" t="s">
        <v>57</v>
      </c>
      <c r="E3" s="10" t="s">
        <v>57</v>
      </c>
    </row>
    <row r="4" spans="1:5" x14ac:dyDescent="0.3">
      <c r="A4" t="str">
        <v>Product</v>
      </c>
      <c r="B4">
        <f>COUNTBLANK(FinancialData[Segment])</f>
        <v>0</v>
      </c>
      <c r="C4" s="10" t="s">
        <v>54</v>
      </c>
      <c r="D4" s="10" t="s">
        <v>57</v>
      </c>
      <c r="E4" s="10" t="s">
        <v>57</v>
      </c>
    </row>
    <row r="5" spans="1:5" x14ac:dyDescent="0.3">
      <c r="A5" t="str">
        <v>Discount Band</v>
      </c>
      <c r="B5">
        <f>COUNTBLANK(FinancialData[Segment])</f>
        <v>0</v>
      </c>
      <c r="C5" s="10" t="s">
        <v>54</v>
      </c>
      <c r="D5" s="10" t="s">
        <v>57</v>
      </c>
      <c r="E5" s="10" t="s">
        <v>57</v>
      </c>
    </row>
    <row r="6" spans="1:5" x14ac:dyDescent="0.3">
      <c r="A6" t="str">
        <v>Units Sold</v>
      </c>
      <c r="B6">
        <f>COUNTBLANK(FinancialData[Segment])</f>
        <v>0</v>
      </c>
      <c r="C6" s="10" t="s">
        <v>54</v>
      </c>
      <c r="D6" s="10">
        <f t="shared" ref="D6:D15" ca="1" si="0">MIN(INDIRECT("FinancialData["&amp;A6&amp;"]"))</f>
        <v>200</v>
      </c>
      <c r="E6" s="10">
        <f t="shared" ref="E6:E15" ca="1" si="1">MAX(INDIRECT("FinancialData["&amp;A6&amp;"]"))</f>
        <v>4492.5</v>
      </c>
    </row>
    <row r="7" spans="1:5" x14ac:dyDescent="0.3">
      <c r="A7" t="str">
        <v>Manufacturing Price</v>
      </c>
      <c r="B7">
        <f>COUNTBLANK(FinancialData[Segment])</f>
        <v>0</v>
      </c>
      <c r="C7" s="10" t="s">
        <v>54</v>
      </c>
      <c r="D7" s="10">
        <f t="shared" ca="1" si="0"/>
        <v>3</v>
      </c>
      <c r="E7" s="10">
        <f t="shared" ca="1" si="1"/>
        <v>260</v>
      </c>
    </row>
    <row r="8" spans="1:5" x14ac:dyDescent="0.3">
      <c r="A8" t="str">
        <v>Sale Price</v>
      </c>
      <c r="B8">
        <f>COUNTBLANK(FinancialData[Segment])</f>
        <v>0</v>
      </c>
      <c r="C8" s="10" t="s">
        <v>54</v>
      </c>
      <c r="D8" s="10">
        <f t="shared" ca="1" si="0"/>
        <v>7</v>
      </c>
      <c r="E8" s="10">
        <f t="shared" ca="1" si="1"/>
        <v>350</v>
      </c>
    </row>
    <row r="9" spans="1:5" x14ac:dyDescent="0.3">
      <c r="A9" t="str">
        <v>Gross Sales</v>
      </c>
      <c r="B9">
        <f>COUNTBLANK(FinancialData[Segment])</f>
        <v>0</v>
      </c>
      <c r="C9" s="10" t="s">
        <v>54</v>
      </c>
      <c r="D9" s="10">
        <f t="shared" ca="1" si="0"/>
        <v>1799</v>
      </c>
      <c r="E9" s="10">
        <f t="shared" ca="1" si="1"/>
        <v>1207500</v>
      </c>
    </row>
    <row r="10" spans="1:5" x14ac:dyDescent="0.3">
      <c r="A10" t="str">
        <v>Discounts</v>
      </c>
      <c r="B10">
        <f>COUNTBLANK(FinancialData[Segment])</f>
        <v>0</v>
      </c>
      <c r="C10" s="10" t="s">
        <v>54</v>
      </c>
      <c r="D10" s="10">
        <f t="shared" ca="1" si="0"/>
        <v>0</v>
      </c>
      <c r="E10" s="10">
        <f t="shared" ca="1" si="1"/>
        <v>149677.5</v>
      </c>
    </row>
    <row r="11" spans="1:5" x14ac:dyDescent="0.3">
      <c r="A11" t="str">
        <v xml:space="preserve"> Sales</v>
      </c>
      <c r="B11">
        <f>COUNTBLANK(FinancialData[Segment])</f>
        <v>0</v>
      </c>
      <c r="C11" s="10" t="s">
        <v>54</v>
      </c>
      <c r="D11" s="10">
        <f t="shared" ca="1" si="0"/>
        <v>1655.08</v>
      </c>
      <c r="E11" s="10">
        <f t="shared" ca="1" si="1"/>
        <v>1159200</v>
      </c>
    </row>
    <row r="12" spans="1:5" x14ac:dyDescent="0.3">
      <c r="A12" t="str">
        <v>COGS</v>
      </c>
      <c r="B12">
        <f>COUNTBLANK(FinancialData[Segment])</f>
        <v>0</v>
      </c>
      <c r="C12" s="10" t="s">
        <v>54</v>
      </c>
      <c r="D12" s="10">
        <f t="shared" ca="1" si="0"/>
        <v>918</v>
      </c>
      <c r="E12" s="10">
        <f t="shared" ca="1" si="1"/>
        <v>950625</v>
      </c>
    </row>
    <row r="13" spans="1:5" x14ac:dyDescent="0.3">
      <c r="A13" t="str">
        <v>Profit</v>
      </c>
      <c r="B13">
        <f>COUNTBLANK(FinancialData[Segment])</f>
        <v>0</v>
      </c>
      <c r="C13" s="10" t="s">
        <v>53</v>
      </c>
      <c r="D13" s="10">
        <f t="shared" ca="1" si="0"/>
        <v>-40617.5</v>
      </c>
      <c r="E13" s="10">
        <f t="shared" ca="1" si="1"/>
        <v>262200</v>
      </c>
    </row>
    <row r="14" spans="1:5" x14ac:dyDescent="0.3">
      <c r="A14" t="str">
        <v>Date</v>
      </c>
      <c r="B14">
        <f>COUNTBLANK(FinancialData[Segment])</f>
        <v>0</v>
      </c>
      <c r="C14" s="10" t="s">
        <v>54</v>
      </c>
      <c r="D14" s="11">
        <f t="shared" ca="1" si="0"/>
        <v>41518</v>
      </c>
      <c r="E14" s="11">
        <f t="shared" ca="1" si="1"/>
        <v>41974</v>
      </c>
    </row>
    <row r="15" spans="1:5" x14ac:dyDescent="0.3">
      <c r="A15" t="str">
        <v>Month Number</v>
      </c>
      <c r="B15">
        <f>COUNTBLANK(FinancialData[Segment])</f>
        <v>0</v>
      </c>
      <c r="C15" s="10" t="s">
        <v>54</v>
      </c>
      <c r="D15" s="10">
        <f t="shared" ca="1" si="0"/>
        <v>1</v>
      </c>
      <c r="E15" s="10">
        <f t="shared" ca="1" si="1"/>
        <v>12</v>
      </c>
    </row>
    <row r="16" spans="1:5" x14ac:dyDescent="0.3">
      <c r="A16" t="str">
        <v>Month Name</v>
      </c>
      <c r="B16">
        <f>COUNTBLANK(FinancialData[Segment])</f>
        <v>0</v>
      </c>
      <c r="C16" s="10" t="s">
        <v>54</v>
      </c>
      <c r="D16" s="10" t="s">
        <v>57</v>
      </c>
      <c r="E16" s="10" t="s">
        <v>57</v>
      </c>
    </row>
    <row r="17" spans="1:5" x14ac:dyDescent="0.3">
      <c r="A17" t="str">
        <v>Year</v>
      </c>
      <c r="B17">
        <f>COUNTBLANK(FinancialData[Segment])</f>
        <v>0</v>
      </c>
      <c r="C17" s="10" t="s">
        <v>54</v>
      </c>
      <c r="D17" s="10" t="s">
        <v>57</v>
      </c>
      <c r="E17" s="10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778A-A593-4B7C-9F04-E21B1E6C0DBD}">
  <dimension ref="A1:K701"/>
  <sheetViews>
    <sheetView workbookViewId="0">
      <selection activeCell="A2" sqref="A2"/>
    </sheetView>
  </sheetViews>
  <sheetFormatPr defaultRowHeight="14.4" x14ac:dyDescent="0.3"/>
  <cols>
    <col min="1" max="1" width="16.109375" customWidth="1"/>
    <col min="2" max="2" width="29.21875" customWidth="1"/>
    <col min="3" max="3" width="17.88671875" customWidth="1"/>
    <col min="4" max="4" width="25" customWidth="1"/>
  </cols>
  <sheetData>
    <row r="1" spans="1:11" x14ac:dyDescent="0.3">
      <c r="A1" t="s">
        <v>58</v>
      </c>
      <c r="B1" t="s">
        <v>59</v>
      </c>
      <c r="C1" t="s">
        <v>60</v>
      </c>
      <c r="D1" t="s">
        <v>61</v>
      </c>
    </row>
    <row r="2" spans="1:11" x14ac:dyDescent="0.3">
      <c r="A2" cm="1">
        <f t="array" ref="A2:A701">_xlfn.SEQUENCE(ROWS(FinancialData[Units Sold]))</f>
        <v>1</v>
      </c>
      <c r="B2" t="b">
        <f>ROUND(INDEX(FinancialData[Units Sold],1)*INDEX(FinancialData[Sale Price],1),2)=ROUND(INDEX(FinancialData[Gross Sales],1),2)</f>
        <v>1</v>
      </c>
      <c r="C2" s="12" t="b" cm="1">
        <f t="array" ref="C2">ROUND(INDEX(FinancialData[Gross Sales],A2)-INDEX(FinancialData[Discounts],A2),2)=ROUND(INDEX(FinancialData[ [ Sales] ],A2),2)</f>
        <v>1</v>
      </c>
      <c r="D2" t="b" cm="1">
        <f t="array" ref="D2">ROUND(INDEX(FinancialData[ [ Sales] ],A2)-INDEX(FinancialData[COGS],A2),2)=ROUND(INDEX(FinancialData[Profit],A2),2)</f>
        <v>1</v>
      </c>
    </row>
    <row r="3" spans="1:11" x14ac:dyDescent="0.3">
      <c r="A3">
        <v>2</v>
      </c>
      <c r="B3" t="b">
        <f>ROUND(INDEX(FinancialData[Units Sold],1)*INDEX(FinancialData[Sale Price],1),2)=ROUND(INDEX(FinancialData[Gross Sales],1),2)</f>
        <v>1</v>
      </c>
      <c r="C3" s="12" t="b" cm="1">
        <f t="array" ref="C3">ROUND(INDEX(FinancialData[Gross Sales],A3)-INDEX(FinancialData[Discounts],A3),2)=ROUND(INDEX(FinancialData[ [ Sales] ],A3),2)</f>
        <v>1</v>
      </c>
      <c r="D3" t="b" cm="1">
        <f t="array" ref="D3">ROUND(INDEX(FinancialData[ [ Sales] ],A3)-INDEX(FinancialData[COGS],A3),2)=ROUND(INDEX(FinancialData[Profit],A3),2)</f>
        <v>1</v>
      </c>
    </row>
    <row r="4" spans="1:11" x14ac:dyDescent="0.3">
      <c r="A4">
        <v>3</v>
      </c>
      <c r="B4" t="b">
        <f>ROUND(INDEX(FinancialData[Units Sold],1)*INDEX(FinancialData[Sale Price],1),2)=ROUND(INDEX(FinancialData[Gross Sales],1),2)</f>
        <v>1</v>
      </c>
      <c r="C4" s="12" t="b" cm="1">
        <f t="array" ref="C4">ROUND(INDEX(FinancialData[Gross Sales],A4)-INDEX(FinancialData[Discounts],A4),2)=ROUND(INDEX(FinancialData[ [ Sales] ],A4),2)</f>
        <v>1</v>
      </c>
      <c r="D4" t="b" cm="1">
        <f t="array" ref="D4">ROUND(INDEX(FinancialData[ [ Sales] ],A4)-INDEX(FinancialData[COGS],A4),2)=ROUND(INDEX(FinancialData[Profit],A4),2)</f>
        <v>1</v>
      </c>
    </row>
    <row r="5" spans="1:11" x14ac:dyDescent="0.3">
      <c r="A5">
        <v>4</v>
      </c>
      <c r="B5" t="b">
        <f>ROUND(INDEX(FinancialData[Units Sold],1)*INDEX(FinancialData[Sale Price],1),2)=ROUND(INDEX(FinancialData[Gross Sales],1),2)</f>
        <v>1</v>
      </c>
      <c r="C5" s="12" t="b" cm="1">
        <f t="array" ref="C5">ROUND(INDEX(FinancialData[Gross Sales],A5)-INDEX(FinancialData[Discounts],A5),2)=ROUND(INDEX(FinancialData[ [ Sales] ],A5),2)</f>
        <v>1</v>
      </c>
      <c r="D5" t="b" cm="1">
        <f t="array" ref="D5">ROUND(INDEX(FinancialData[ [ Sales] ],A5)-INDEX(FinancialData[COGS],A5),2)=ROUND(INDEX(FinancialData[Profit],A5),2)</f>
        <v>1</v>
      </c>
    </row>
    <row r="6" spans="1:11" x14ac:dyDescent="0.3">
      <c r="A6">
        <v>5</v>
      </c>
      <c r="B6" t="b">
        <f>ROUND(INDEX(FinancialData[Units Sold],1)*INDEX(FinancialData[Sale Price],1),2)=ROUND(INDEX(FinancialData[Gross Sales],1),2)</f>
        <v>1</v>
      </c>
      <c r="C6" s="12" t="b" cm="1">
        <f t="array" ref="C6">ROUND(INDEX(FinancialData[Gross Sales],A6)-INDEX(FinancialData[Discounts],A6),2)=ROUND(INDEX(FinancialData[ [ Sales] ],A6),2)</f>
        <v>1</v>
      </c>
      <c r="D6" t="b" cm="1">
        <f t="array" ref="D6">ROUND(INDEX(FinancialData[ [ Sales] ],A6)-INDEX(FinancialData[COGS],A6),2)=ROUND(INDEX(FinancialData[Profit],A6),2)</f>
        <v>1</v>
      </c>
    </row>
    <row r="7" spans="1:11" x14ac:dyDescent="0.3">
      <c r="A7">
        <v>6</v>
      </c>
      <c r="B7" t="b">
        <f>ROUND(INDEX(FinancialData[Units Sold],1)*INDEX(FinancialData[Sale Price],1),2)=ROUND(INDEX(FinancialData[Gross Sales],1),2)</f>
        <v>1</v>
      </c>
      <c r="C7" s="12" t="b" cm="1">
        <f t="array" ref="C7">ROUND(INDEX(FinancialData[Gross Sales],A7)-INDEX(FinancialData[Discounts],A7),2)=ROUND(INDEX(FinancialData[ [ Sales] ],A7),2)</f>
        <v>1</v>
      </c>
      <c r="D7" t="b" cm="1">
        <f t="array" ref="D7">ROUND(INDEX(FinancialData[ [ Sales] ],A7)-INDEX(FinancialData[COGS],A7),2)=ROUND(INDEX(FinancialData[Profit],A7),2)</f>
        <v>1</v>
      </c>
    </row>
    <row r="8" spans="1:11" x14ac:dyDescent="0.3">
      <c r="A8">
        <v>7</v>
      </c>
      <c r="B8" t="b">
        <f>ROUND(INDEX(FinancialData[Units Sold],1)*INDEX(FinancialData[Sale Price],1),2)=ROUND(INDEX(FinancialData[Gross Sales],1),2)</f>
        <v>1</v>
      </c>
      <c r="C8" s="12" t="b" cm="1">
        <f t="array" ref="C8">ROUND(INDEX(FinancialData[Gross Sales],A8)-INDEX(FinancialData[Discounts],A8),2)=ROUND(INDEX(FinancialData[ [ Sales] ],A8),2)</f>
        <v>1</v>
      </c>
      <c r="D8" t="b" cm="1">
        <f t="array" ref="D8">ROUND(INDEX(FinancialData[ [ Sales] ],A8)-INDEX(FinancialData[COGS],A8),2)=ROUND(INDEX(FinancialData[Profit],A8),2)</f>
        <v>1</v>
      </c>
      <c r="K8" cm="1">
        <f t="array" ref="K8">INDEX(FinancialData[ [ Sales] ],A2)</f>
        <v>32370</v>
      </c>
    </row>
    <row r="9" spans="1:11" x14ac:dyDescent="0.3">
      <c r="A9">
        <v>8</v>
      </c>
      <c r="B9" t="b">
        <f>ROUND(INDEX(FinancialData[Units Sold],1)*INDEX(FinancialData[Sale Price],1),2)=ROUND(INDEX(FinancialData[Gross Sales],1),2)</f>
        <v>1</v>
      </c>
      <c r="C9" s="12" t="b" cm="1">
        <f t="array" ref="C9">ROUND(INDEX(FinancialData[Gross Sales],A9)-INDEX(FinancialData[Discounts],A9),2)=ROUND(INDEX(FinancialData[ [ Sales] ],A9),2)</f>
        <v>1</v>
      </c>
      <c r="D9" t="b" cm="1">
        <f t="array" ref="D9">ROUND(INDEX(FinancialData[ [ Sales] ],A9)-INDEX(FinancialData[COGS],A9),2)=ROUND(INDEX(FinancialData[Profit],A9),2)</f>
        <v>1</v>
      </c>
    </row>
    <row r="10" spans="1:11" x14ac:dyDescent="0.3">
      <c r="A10">
        <v>9</v>
      </c>
      <c r="B10" t="b">
        <f>ROUND(INDEX(FinancialData[Units Sold],1)*INDEX(FinancialData[Sale Price],1),2)=ROUND(INDEX(FinancialData[Gross Sales],1),2)</f>
        <v>1</v>
      </c>
      <c r="C10" s="12" t="b" cm="1">
        <f t="array" ref="C10">ROUND(INDEX(FinancialData[Gross Sales],A10)-INDEX(FinancialData[Discounts],A10),2)=ROUND(INDEX(FinancialData[ [ Sales] ],A10),2)</f>
        <v>1</v>
      </c>
      <c r="D10" t="b" cm="1">
        <f t="array" ref="D10">ROUND(INDEX(FinancialData[ [ Sales] ],A10)-INDEX(FinancialData[COGS],A10),2)=ROUND(INDEX(FinancialData[Profit],A10),2)</f>
        <v>1</v>
      </c>
    </row>
    <row r="11" spans="1:11" x14ac:dyDescent="0.3">
      <c r="A11">
        <v>10</v>
      </c>
      <c r="B11" t="b">
        <f>ROUND(INDEX(FinancialData[Units Sold],1)*INDEX(FinancialData[Sale Price],1),2)=ROUND(INDEX(FinancialData[Gross Sales],1),2)</f>
        <v>1</v>
      </c>
      <c r="C11" s="12" t="b" cm="1">
        <f t="array" ref="C11">ROUND(INDEX(FinancialData[Gross Sales],A11)-INDEX(FinancialData[Discounts],A11),2)=ROUND(INDEX(FinancialData[ [ Sales] ],A11),2)</f>
        <v>1</v>
      </c>
      <c r="D11" t="b" cm="1">
        <f t="array" ref="D11">ROUND(INDEX(FinancialData[ [ Sales] ],A11)-INDEX(FinancialData[COGS],A11),2)=ROUND(INDEX(FinancialData[Profit],A11),2)</f>
        <v>1</v>
      </c>
    </row>
    <row r="12" spans="1:11" x14ac:dyDescent="0.3">
      <c r="A12">
        <v>11</v>
      </c>
      <c r="B12" t="b">
        <f>ROUND(INDEX(FinancialData[Units Sold],1)*INDEX(FinancialData[Sale Price],1),2)=ROUND(INDEX(FinancialData[Gross Sales],1),2)</f>
        <v>1</v>
      </c>
      <c r="C12" s="12" t="b" cm="1">
        <f t="array" ref="C12">ROUND(INDEX(FinancialData[Gross Sales],A12)-INDEX(FinancialData[Discounts],A12),2)=ROUND(INDEX(FinancialData[ [ Sales] ],A12),2)</f>
        <v>1</v>
      </c>
      <c r="D12" t="b" cm="1">
        <f t="array" ref="D12">ROUND(INDEX(FinancialData[ [ Sales] ],A12)-INDEX(FinancialData[COGS],A12),2)=ROUND(INDEX(FinancialData[Profit],A12),2)</f>
        <v>1</v>
      </c>
    </row>
    <row r="13" spans="1:11" x14ac:dyDescent="0.3">
      <c r="A13">
        <v>12</v>
      </c>
      <c r="B13" t="b">
        <f>ROUND(INDEX(FinancialData[Units Sold],1)*INDEX(FinancialData[Sale Price],1),2)=ROUND(INDEX(FinancialData[Gross Sales],1),2)</f>
        <v>1</v>
      </c>
      <c r="C13" s="12" t="b" cm="1">
        <f t="array" ref="C13">ROUND(INDEX(FinancialData[Gross Sales],A13)-INDEX(FinancialData[Discounts],A13),2)=ROUND(INDEX(FinancialData[ [ Sales] ],A13),2)</f>
        <v>1</v>
      </c>
      <c r="D13" t="b" cm="1">
        <f t="array" ref="D13">ROUND(INDEX(FinancialData[ [ Sales] ],A13)-INDEX(FinancialData[COGS],A13),2)=ROUND(INDEX(FinancialData[Profit],A13),2)</f>
        <v>1</v>
      </c>
    </row>
    <row r="14" spans="1:11" x14ac:dyDescent="0.3">
      <c r="A14">
        <v>13</v>
      </c>
      <c r="B14" t="b">
        <f>ROUND(INDEX(FinancialData[Units Sold],1)*INDEX(FinancialData[Sale Price],1),2)=ROUND(INDEX(FinancialData[Gross Sales],1),2)</f>
        <v>1</v>
      </c>
      <c r="C14" s="12" t="b" cm="1">
        <f t="array" ref="C14">ROUND(INDEX(FinancialData[Gross Sales],A14)-INDEX(FinancialData[Discounts],A14),2)=ROUND(INDEX(FinancialData[ [ Sales] ],A14),2)</f>
        <v>1</v>
      </c>
      <c r="D14" t="b" cm="1">
        <f t="array" ref="D14">ROUND(INDEX(FinancialData[ [ Sales] ],A14)-INDEX(FinancialData[COGS],A14),2)=ROUND(INDEX(FinancialData[Profit],A14),2)</f>
        <v>1</v>
      </c>
    </row>
    <row r="15" spans="1:11" x14ac:dyDescent="0.3">
      <c r="A15">
        <v>14</v>
      </c>
      <c r="B15" t="b">
        <f>ROUND(INDEX(FinancialData[Units Sold],1)*INDEX(FinancialData[Sale Price],1),2)=ROUND(INDEX(FinancialData[Gross Sales],1),2)</f>
        <v>1</v>
      </c>
      <c r="C15" s="12" t="b" cm="1">
        <f t="array" ref="C15">ROUND(INDEX(FinancialData[Gross Sales],A15)-INDEX(FinancialData[Discounts],A15),2)=ROUND(INDEX(FinancialData[ [ Sales] ],A15),2)</f>
        <v>1</v>
      </c>
      <c r="D15" t="b" cm="1">
        <f t="array" ref="D15">ROUND(INDEX(FinancialData[ [ Sales] ],A15)-INDEX(FinancialData[COGS],A15),2)=ROUND(INDEX(FinancialData[Profit],A15),2)</f>
        <v>1</v>
      </c>
    </row>
    <row r="16" spans="1:11" x14ac:dyDescent="0.3">
      <c r="A16">
        <v>15</v>
      </c>
      <c r="B16" t="b">
        <f>ROUND(INDEX(FinancialData[Units Sold],1)*INDEX(FinancialData[Sale Price],1),2)=ROUND(INDEX(FinancialData[Gross Sales],1),2)</f>
        <v>1</v>
      </c>
      <c r="C16" s="12" t="b" cm="1">
        <f t="array" ref="C16">ROUND(INDEX(FinancialData[Gross Sales],A16)-INDEX(FinancialData[Discounts],A16),2)=ROUND(INDEX(FinancialData[ [ Sales] ],A16),2)</f>
        <v>1</v>
      </c>
      <c r="D16" t="b" cm="1">
        <f t="array" ref="D16">ROUND(INDEX(FinancialData[ [ Sales] ],A16)-INDEX(FinancialData[COGS],A16),2)=ROUND(INDEX(FinancialData[Profit],A16),2)</f>
        <v>1</v>
      </c>
    </row>
    <row r="17" spans="1:4" x14ac:dyDescent="0.3">
      <c r="A17">
        <v>16</v>
      </c>
      <c r="B17" t="b">
        <f>ROUND(INDEX(FinancialData[Units Sold],1)*INDEX(FinancialData[Sale Price],1),2)=ROUND(INDEX(FinancialData[Gross Sales],1),2)</f>
        <v>1</v>
      </c>
      <c r="C17" s="12" t="b" cm="1">
        <f t="array" ref="C17">ROUND(INDEX(FinancialData[Gross Sales],A17)-INDEX(FinancialData[Discounts],A17),2)=ROUND(INDEX(FinancialData[ [ Sales] ],A17),2)</f>
        <v>1</v>
      </c>
      <c r="D17" t="b" cm="1">
        <f t="array" ref="D17">ROUND(INDEX(FinancialData[ [ Sales] ],A17)-INDEX(FinancialData[COGS],A17),2)=ROUND(INDEX(FinancialData[Profit],A17),2)</f>
        <v>1</v>
      </c>
    </row>
    <row r="18" spans="1:4" x14ac:dyDescent="0.3">
      <c r="A18">
        <v>17</v>
      </c>
      <c r="B18" t="b">
        <f>ROUND(INDEX(FinancialData[Units Sold],1)*INDEX(FinancialData[Sale Price],1),2)=ROUND(INDEX(FinancialData[Gross Sales],1),2)</f>
        <v>1</v>
      </c>
      <c r="C18" s="12" t="b" cm="1">
        <f t="array" ref="C18">ROUND(INDEX(FinancialData[Gross Sales],A18)-INDEX(FinancialData[Discounts],A18),2)=ROUND(INDEX(FinancialData[ [ Sales] ],A18),2)</f>
        <v>1</v>
      </c>
      <c r="D18" t="b" cm="1">
        <f t="array" ref="D18">ROUND(INDEX(FinancialData[ [ Sales] ],A18)-INDEX(FinancialData[COGS],A18),2)=ROUND(INDEX(FinancialData[Profit],A18),2)</f>
        <v>1</v>
      </c>
    </row>
    <row r="19" spans="1:4" x14ac:dyDescent="0.3">
      <c r="A19">
        <v>18</v>
      </c>
      <c r="B19" t="b">
        <f>ROUND(INDEX(FinancialData[Units Sold],1)*INDEX(FinancialData[Sale Price],1),2)=ROUND(INDEX(FinancialData[Gross Sales],1),2)</f>
        <v>1</v>
      </c>
      <c r="C19" s="12" t="b" cm="1">
        <f t="array" ref="C19">ROUND(INDEX(FinancialData[Gross Sales],A19)-INDEX(FinancialData[Discounts],A19),2)=ROUND(INDEX(FinancialData[ [ Sales] ],A19),2)</f>
        <v>1</v>
      </c>
      <c r="D19" t="b" cm="1">
        <f t="array" ref="D19">ROUND(INDEX(FinancialData[ [ Sales] ],A19)-INDEX(FinancialData[COGS],A19),2)=ROUND(INDEX(FinancialData[Profit],A19),2)</f>
        <v>1</v>
      </c>
    </row>
    <row r="20" spans="1:4" x14ac:dyDescent="0.3">
      <c r="A20">
        <v>19</v>
      </c>
      <c r="B20" t="b">
        <f>ROUND(INDEX(FinancialData[Units Sold],1)*INDEX(FinancialData[Sale Price],1),2)=ROUND(INDEX(FinancialData[Gross Sales],1),2)</f>
        <v>1</v>
      </c>
      <c r="C20" s="12" t="b" cm="1">
        <f t="array" ref="C20">ROUND(INDEX(FinancialData[Gross Sales],A20)-INDEX(FinancialData[Discounts],A20),2)=ROUND(INDEX(FinancialData[ [ Sales] ],A20),2)</f>
        <v>1</v>
      </c>
      <c r="D20" t="b" cm="1">
        <f t="array" ref="D20">ROUND(INDEX(FinancialData[ [ Sales] ],A20)-INDEX(FinancialData[COGS],A20),2)=ROUND(INDEX(FinancialData[Profit],A20),2)</f>
        <v>1</v>
      </c>
    </row>
    <row r="21" spans="1:4" x14ac:dyDescent="0.3">
      <c r="A21">
        <v>20</v>
      </c>
      <c r="B21" t="b">
        <f>ROUND(INDEX(FinancialData[Units Sold],1)*INDEX(FinancialData[Sale Price],1),2)=ROUND(INDEX(FinancialData[Gross Sales],1),2)</f>
        <v>1</v>
      </c>
      <c r="C21" s="12" t="b" cm="1">
        <f t="array" ref="C21">ROUND(INDEX(FinancialData[Gross Sales],A21)-INDEX(FinancialData[Discounts],A21),2)=ROUND(INDEX(FinancialData[ [ Sales] ],A21),2)</f>
        <v>1</v>
      </c>
      <c r="D21" t="b" cm="1">
        <f t="array" ref="D21">ROUND(INDEX(FinancialData[ [ Sales] ],A21)-INDEX(FinancialData[COGS],A21),2)=ROUND(INDEX(FinancialData[Profit],A21),2)</f>
        <v>1</v>
      </c>
    </row>
    <row r="22" spans="1:4" x14ac:dyDescent="0.3">
      <c r="A22">
        <v>21</v>
      </c>
      <c r="B22" t="b">
        <f>ROUND(INDEX(FinancialData[Units Sold],1)*INDEX(FinancialData[Sale Price],1),2)=ROUND(INDEX(FinancialData[Gross Sales],1),2)</f>
        <v>1</v>
      </c>
      <c r="C22" s="12" t="b" cm="1">
        <f t="array" ref="C22">ROUND(INDEX(FinancialData[Gross Sales],A22)-INDEX(FinancialData[Discounts],A22),2)=ROUND(INDEX(FinancialData[ [ Sales] ],A22),2)</f>
        <v>1</v>
      </c>
      <c r="D22" t="b" cm="1">
        <f t="array" ref="D22">ROUND(INDEX(FinancialData[ [ Sales] ],A22)-INDEX(FinancialData[COGS],A22),2)=ROUND(INDEX(FinancialData[Profit],A22),2)</f>
        <v>1</v>
      </c>
    </row>
    <row r="23" spans="1:4" x14ac:dyDescent="0.3">
      <c r="A23">
        <v>22</v>
      </c>
      <c r="B23" t="b">
        <f>ROUND(INDEX(FinancialData[Units Sold],1)*INDEX(FinancialData[Sale Price],1),2)=ROUND(INDEX(FinancialData[Gross Sales],1),2)</f>
        <v>1</v>
      </c>
      <c r="C23" s="12" t="b" cm="1">
        <f t="array" ref="C23">ROUND(INDEX(FinancialData[Gross Sales],A23)-INDEX(FinancialData[Discounts],A23),2)=ROUND(INDEX(FinancialData[ [ Sales] ],A23),2)</f>
        <v>1</v>
      </c>
      <c r="D23" t="b" cm="1">
        <f t="array" ref="D23">ROUND(INDEX(FinancialData[ [ Sales] ],A23)-INDEX(FinancialData[COGS],A23),2)=ROUND(INDEX(FinancialData[Profit],A23),2)</f>
        <v>1</v>
      </c>
    </row>
    <row r="24" spans="1:4" x14ac:dyDescent="0.3">
      <c r="A24">
        <v>23</v>
      </c>
      <c r="B24" t="b">
        <f>ROUND(INDEX(FinancialData[Units Sold],1)*INDEX(FinancialData[Sale Price],1),2)=ROUND(INDEX(FinancialData[Gross Sales],1),2)</f>
        <v>1</v>
      </c>
      <c r="C24" s="12" t="b" cm="1">
        <f t="array" ref="C24">ROUND(INDEX(FinancialData[Gross Sales],A24)-INDEX(FinancialData[Discounts],A24),2)=ROUND(INDEX(FinancialData[ [ Sales] ],A24),2)</f>
        <v>1</v>
      </c>
      <c r="D24" t="b" cm="1">
        <f t="array" ref="D24">ROUND(INDEX(FinancialData[ [ Sales] ],A24)-INDEX(FinancialData[COGS],A24),2)=ROUND(INDEX(FinancialData[Profit],A24),2)</f>
        <v>1</v>
      </c>
    </row>
    <row r="25" spans="1:4" x14ac:dyDescent="0.3">
      <c r="A25">
        <v>24</v>
      </c>
      <c r="B25" t="b">
        <f>ROUND(INDEX(FinancialData[Units Sold],1)*INDEX(FinancialData[Sale Price],1),2)=ROUND(INDEX(FinancialData[Gross Sales],1),2)</f>
        <v>1</v>
      </c>
      <c r="C25" s="12" t="b" cm="1">
        <f t="array" ref="C25">ROUND(INDEX(FinancialData[Gross Sales],A25)-INDEX(FinancialData[Discounts],A25),2)=ROUND(INDEX(FinancialData[ [ Sales] ],A25),2)</f>
        <v>1</v>
      </c>
      <c r="D25" t="b" cm="1">
        <f t="array" ref="D25">ROUND(INDEX(FinancialData[ [ Sales] ],A25)-INDEX(FinancialData[COGS],A25),2)=ROUND(INDEX(FinancialData[Profit],A25),2)</f>
        <v>1</v>
      </c>
    </row>
    <row r="26" spans="1:4" x14ac:dyDescent="0.3">
      <c r="A26">
        <v>25</v>
      </c>
      <c r="B26" t="b">
        <f>ROUND(INDEX(FinancialData[Units Sold],1)*INDEX(FinancialData[Sale Price],1),2)=ROUND(INDEX(FinancialData[Gross Sales],1),2)</f>
        <v>1</v>
      </c>
      <c r="C26" s="12" t="b" cm="1">
        <f t="array" ref="C26">ROUND(INDEX(FinancialData[Gross Sales],A26)-INDEX(FinancialData[Discounts],A26),2)=ROUND(INDEX(FinancialData[ [ Sales] ],A26),2)</f>
        <v>1</v>
      </c>
      <c r="D26" t="b" cm="1">
        <f t="array" ref="D26">ROUND(INDEX(FinancialData[ [ Sales] ],A26)-INDEX(FinancialData[COGS],A26),2)=ROUND(INDEX(FinancialData[Profit],A26),2)</f>
        <v>1</v>
      </c>
    </row>
    <row r="27" spans="1:4" x14ac:dyDescent="0.3">
      <c r="A27">
        <v>26</v>
      </c>
      <c r="B27" t="b">
        <f>ROUND(INDEX(FinancialData[Units Sold],1)*INDEX(FinancialData[Sale Price],1),2)=ROUND(INDEX(FinancialData[Gross Sales],1),2)</f>
        <v>1</v>
      </c>
      <c r="C27" s="12" t="b" cm="1">
        <f t="array" ref="C27">ROUND(INDEX(FinancialData[Gross Sales],A27)-INDEX(FinancialData[Discounts],A27),2)=ROUND(INDEX(FinancialData[ [ Sales] ],A27),2)</f>
        <v>1</v>
      </c>
      <c r="D27" t="b" cm="1">
        <f t="array" ref="D27">ROUND(INDEX(FinancialData[ [ Sales] ],A27)-INDEX(FinancialData[COGS],A27),2)=ROUND(INDEX(FinancialData[Profit],A27),2)</f>
        <v>1</v>
      </c>
    </row>
    <row r="28" spans="1:4" x14ac:dyDescent="0.3">
      <c r="A28">
        <v>27</v>
      </c>
      <c r="B28" t="b">
        <f>ROUND(INDEX(FinancialData[Units Sold],1)*INDEX(FinancialData[Sale Price],1),2)=ROUND(INDEX(FinancialData[Gross Sales],1),2)</f>
        <v>1</v>
      </c>
      <c r="C28" s="12" t="b" cm="1">
        <f t="array" ref="C28">ROUND(INDEX(FinancialData[Gross Sales],A28)-INDEX(FinancialData[Discounts],A28),2)=ROUND(INDEX(FinancialData[ [ Sales] ],A28),2)</f>
        <v>1</v>
      </c>
      <c r="D28" t="b" cm="1">
        <f t="array" ref="D28">ROUND(INDEX(FinancialData[ [ Sales] ],A28)-INDEX(FinancialData[COGS],A28),2)=ROUND(INDEX(FinancialData[Profit],A28),2)</f>
        <v>1</v>
      </c>
    </row>
    <row r="29" spans="1:4" x14ac:dyDescent="0.3">
      <c r="A29">
        <v>28</v>
      </c>
      <c r="B29" t="b">
        <f>ROUND(INDEX(FinancialData[Units Sold],1)*INDEX(FinancialData[Sale Price],1),2)=ROUND(INDEX(FinancialData[Gross Sales],1),2)</f>
        <v>1</v>
      </c>
      <c r="C29" s="12" t="b" cm="1">
        <f t="array" ref="C29">ROUND(INDEX(FinancialData[Gross Sales],A29)-INDEX(FinancialData[Discounts],A29),2)=ROUND(INDEX(FinancialData[ [ Sales] ],A29),2)</f>
        <v>1</v>
      </c>
      <c r="D29" t="b" cm="1">
        <f t="array" ref="D29">ROUND(INDEX(FinancialData[ [ Sales] ],A29)-INDEX(FinancialData[COGS],A29),2)=ROUND(INDEX(FinancialData[Profit],A29),2)</f>
        <v>1</v>
      </c>
    </row>
    <row r="30" spans="1:4" x14ac:dyDescent="0.3">
      <c r="A30">
        <v>29</v>
      </c>
      <c r="B30" t="b">
        <f>ROUND(INDEX(FinancialData[Units Sold],1)*INDEX(FinancialData[Sale Price],1),2)=ROUND(INDEX(FinancialData[Gross Sales],1),2)</f>
        <v>1</v>
      </c>
      <c r="C30" s="12" t="b" cm="1">
        <f t="array" ref="C30">ROUND(INDEX(FinancialData[Gross Sales],A30)-INDEX(FinancialData[Discounts],A30),2)=ROUND(INDEX(FinancialData[ [ Sales] ],A30),2)</f>
        <v>1</v>
      </c>
      <c r="D30" t="b" cm="1">
        <f t="array" ref="D30">ROUND(INDEX(FinancialData[ [ Sales] ],A30)-INDEX(FinancialData[COGS],A30),2)=ROUND(INDEX(FinancialData[Profit],A30),2)</f>
        <v>1</v>
      </c>
    </row>
    <row r="31" spans="1:4" x14ac:dyDescent="0.3">
      <c r="A31">
        <v>30</v>
      </c>
      <c r="B31" t="b">
        <f>ROUND(INDEX(FinancialData[Units Sold],1)*INDEX(FinancialData[Sale Price],1),2)=ROUND(INDEX(FinancialData[Gross Sales],1),2)</f>
        <v>1</v>
      </c>
      <c r="C31" s="12" t="b" cm="1">
        <f t="array" ref="C31">ROUND(INDEX(FinancialData[Gross Sales],A31)-INDEX(FinancialData[Discounts],A31),2)=ROUND(INDEX(FinancialData[ [ Sales] ],A31),2)</f>
        <v>1</v>
      </c>
      <c r="D31" t="b" cm="1">
        <f t="array" ref="D31">ROUND(INDEX(FinancialData[ [ Sales] ],A31)-INDEX(FinancialData[COGS],A31),2)=ROUND(INDEX(FinancialData[Profit],A31),2)</f>
        <v>1</v>
      </c>
    </row>
    <row r="32" spans="1:4" x14ac:dyDescent="0.3">
      <c r="A32">
        <v>31</v>
      </c>
      <c r="B32" t="b">
        <f>ROUND(INDEX(FinancialData[Units Sold],1)*INDEX(FinancialData[Sale Price],1),2)=ROUND(INDEX(FinancialData[Gross Sales],1),2)</f>
        <v>1</v>
      </c>
      <c r="C32" s="12" t="b" cm="1">
        <f t="array" ref="C32">ROUND(INDEX(FinancialData[Gross Sales],A32)-INDEX(FinancialData[Discounts],A32),2)=ROUND(INDEX(FinancialData[ [ Sales] ],A32),2)</f>
        <v>1</v>
      </c>
      <c r="D32" t="b" cm="1">
        <f t="array" ref="D32">ROUND(INDEX(FinancialData[ [ Sales] ],A32)-INDEX(FinancialData[COGS],A32),2)=ROUND(INDEX(FinancialData[Profit],A32),2)</f>
        <v>1</v>
      </c>
    </row>
    <row r="33" spans="1:4" x14ac:dyDescent="0.3">
      <c r="A33">
        <v>32</v>
      </c>
      <c r="B33" t="b">
        <f>ROUND(INDEX(FinancialData[Units Sold],1)*INDEX(FinancialData[Sale Price],1),2)=ROUND(INDEX(FinancialData[Gross Sales],1),2)</f>
        <v>1</v>
      </c>
      <c r="C33" s="12" t="b" cm="1">
        <f t="array" ref="C33">ROUND(INDEX(FinancialData[Gross Sales],A33)-INDEX(FinancialData[Discounts],A33),2)=ROUND(INDEX(FinancialData[ [ Sales] ],A33),2)</f>
        <v>1</v>
      </c>
      <c r="D33" t="b" cm="1">
        <f t="array" ref="D33">ROUND(INDEX(FinancialData[ [ Sales] ],A33)-INDEX(FinancialData[COGS],A33),2)=ROUND(INDEX(FinancialData[Profit],A33),2)</f>
        <v>1</v>
      </c>
    </row>
    <row r="34" spans="1:4" x14ac:dyDescent="0.3">
      <c r="A34">
        <v>33</v>
      </c>
      <c r="B34" t="b">
        <f>ROUND(INDEX(FinancialData[Units Sold],1)*INDEX(FinancialData[Sale Price],1),2)=ROUND(INDEX(FinancialData[Gross Sales],1),2)</f>
        <v>1</v>
      </c>
      <c r="C34" s="12" t="b" cm="1">
        <f t="array" ref="C34">ROUND(INDEX(FinancialData[Gross Sales],A34)-INDEX(FinancialData[Discounts],A34),2)=ROUND(INDEX(FinancialData[ [ Sales] ],A34),2)</f>
        <v>1</v>
      </c>
      <c r="D34" t="b" cm="1">
        <f t="array" ref="D34">ROUND(INDEX(FinancialData[ [ Sales] ],A34)-INDEX(FinancialData[COGS],A34),2)=ROUND(INDEX(FinancialData[Profit],A34),2)</f>
        <v>1</v>
      </c>
    </row>
    <row r="35" spans="1:4" x14ac:dyDescent="0.3">
      <c r="A35">
        <v>34</v>
      </c>
      <c r="B35" t="b">
        <f>ROUND(INDEX(FinancialData[Units Sold],1)*INDEX(FinancialData[Sale Price],1),2)=ROUND(INDEX(FinancialData[Gross Sales],1),2)</f>
        <v>1</v>
      </c>
      <c r="C35" s="12" t="b" cm="1">
        <f t="array" ref="C35">ROUND(INDEX(FinancialData[Gross Sales],A35)-INDEX(FinancialData[Discounts],A35),2)=ROUND(INDEX(FinancialData[ [ Sales] ],A35),2)</f>
        <v>1</v>
      </c>
      <c r="D35" t="b" cm="1">
        <f t="array" ref="D35">ROUND(INDEX(FinancialData[ [ Sales] ],A35)-INDEX(FinancialData[COGS],A35),2)=ROUND(INDEX(FinancialData[Profit],A35),2)</f>
        <v>1</v>
      </c>
    </row>
    <row r="36" spans="1:4" x14ac:dyDescent="0.3">
      <c r="A36">
        <v>35</v>
      </c>
      <c r="B36" t="b">
        <f>ROUND(INDEX(FinancialData[Units Sold],1)*INDEX(FinancialData[Sale Price],1),2)=ROUND(INDEX(FinancialData[Gross Sales],1),2)</f>
        <v>1</v>
      </c>
      <c r="C36" s="12" t="b" cm="1">
        <f t="array" ref="C36">ROUND(INDEX(FinancialData[Gross Sales],A36)-INDEX(FinancialData[Discounts],A36),2)=ROUND(INDEX(FinancialData[ [ Sales] ],A36),2)</f>
        <v>1</v>
      </c>
      <c r="D36" t="b" cm="1">
        <f t="array" ref="D36">ROUND(INDEX(FinancialData[ [ Sales] ],A36)-INDEX(FinancialData[COGS],A36),2)=ROUND(INDEX(FinancialData[Profit],A36),2)</f>
        <v>1</v>
      </c>
    </row>
    <row r="37" spans="1:4" x14ac:dyDescent="0.3">
      <c r="A37">
        <v>36</v>
      </c>
      <c r="B37" t="b">
        <f>ROUND(INDEX(FinancialData[Units Sold],1)*INDEX(FinancialData[Sale Price],1),2)=ROUND(INDEX(FinancialData[Gross Sales],1),2)</f>
        <v>1</v>
      </c>
      <c r="C37" s="12" t="b" cm="1">
        <f t="array" ref="C37">ROUND(INDEX(FinancialData[Gross Sales],A37)-INDEX(FinancialData[Discounts],A37),2)=ROUND(INDEX(FinancialData[ [ Sales] ],A37),2)</f>
        <v>1</v>
      </c>
      <c r="D37" t="b" cm="1">
        <f t="array" ref="D37">ROUND(INDEX(FinancialData[ [ Sales] ],A37)-INDEX(FinancialData[COGS],A37),2)=ROUND(INDEX(FinancialData[Profit],A37),2)</f>
        <v>1</v>
      </c>
    </row>
    <row r="38" spans="1:4" x14ac:dyDescent="0.3">
      <c r="A38">
        <v>37</v>
      </c>
      <c r="B38" t="b">
        <f>ROUND(INDEX(FinancialData[Units Sold],1)*INDEX(FinancialData[Sale Price],1),2)=ROUND(INDEX(FinancialData[Gross Sales],1),2)</f>
        <v>1</v>
      </c>
      <c r="C38" s="12" t="b" cm="1">
        <f t="array" ref="C38">ROUND(INDEX(FinancialData[Gross Sales],A38)-INDEX(FinancialData[Discounts],A38),2)=ROUND(INDEX(FinancialData[ [ Sales] ],A38),2)</f>
        <v>1</v>
      </c>
      <c r="D38" t="b" cm="1">
        <f t="array" ref="D38">ROUND(INDEX(FinancialData[ [ Sales] ],A38)-INDEX(FinancialData[COGS],A38),2)=ROUND(INDEX(FinancialData[Profit],A38),2)</f>
        <v>1</v>
      </c>
    </row>
    <row r="39" spans="1:4" x14ac:dyDescent="0.3">
      <c r="A39">
        <v>38</v>
      </c>
      <c r="B39" t="b">
        <f>ROUND(INDEX(FinancialData[Units Sold],1)*INDEX(FinancialData[Sale Price],1),2)=ROUND(INDEX(FinancialData[Gross Sales],1),2)</f>
        <v>1</v>
      </c>
      <c r="C39" s="12" t="b" cm="1">
        <f t="array" ref="C39">ROUND(INDEX(FinancialData[Gross Sales],A39)-INDEX(FinancialData[Discounts],A39),2)=ROUND(INDEX(FinancialData[ [ Sales] ],A39),2)</f>
        <v>1</v>
      </c>
      <c r="D39" t="b" cm="1">
        <f t="array" ref="D39">ROUND(INDEX(FinancialData[ [ Sales] ],A39)-INDEX(FinancialData[COGS],A39),2)=ROUND(INDEX(FinancialData[Profit],A39),2)</f>
        <v>1</v>
      </c>
    </row>
    <row r="40" spans="1:4" x14ac:dyDescent="0.3">
      <c r="A40">
        <v>39</v>
      </c>
      <c r="B40" t="b">
        <f>ROUND(INDEX(FinancialData[Units Sold],1)*INDEX(FinancialData[Sale Price],1),2)=ROUND(INDEX(FinancialData[Gross Sales],1),2)</f>
        <v>1</v>
      </c>
      <c r="C40" s="12" t="b" cm="1">
        <f t="array" ref="C40">ROUND(INDEX(FinancialData[Gross Sales],A40)-INDEX(FinancialData[Discounts],A40),2)=ROUND(INDEX(FinancialData[ [ Sales] ],A40),2)</f>
        <v>1</v>
      </c>
      <c r="D40" t="b" cm="1">
        <f t="array" ref="D40">ROUND(INDEX(FinancialData[ [ Sales] ],A40)-INDEX(FinancialData[COGS],A40),2)=ROUND(INDEX(FinancialData[Profit],A40),2)</f>
        <v>1</v>
      </c>
    </row>
    <row r="41" spans="1:4" x14ac:dyDescent="0.3">
      <c r="A41">
        <v>40</v>
      </c>
      <c r="B41" t="b">
        <f>ROUND(INDEX(FinancialData[Units Sold],1)*INDEX(FinancialData[Sale Price],1),2)=ROUND(INDEX(FinancialData[Gross Sales],1),2)</f>
        <v>1</v>
      </c>
      <c r="C41" s="12" t="b" cm="1">
        <f t="array" ref="C41">ROUND(INDEX(FinancialData[Gross Sales],A41)-INDEX(FinancialData[Discounts],A41),2)=ROUND(INDEX(FinancialData[ [ Sales] ],A41),2)</f>
        <v>1</v>
      </c>
      <c r="D41" t="b" cm="1">
        <f t="array" ref="D41">ROUND(INDEX(FinancialData[ [ Sales] ],A41)-INDEX(FinancialData[COGS],A41),2)=ROUND(INDEX(FinancialData[Profit],A41),2)</f>
        <v>1</v>
      </c>
    </row>
    <row r="42" spans="1:4" x14ac:dyDescent="0.3">
      <c r="A42">
        <v>41</v>
      </c>
      <c r="B42" t="b">
        <f>ROUND(INDEX(FinancialData[Units Sold],1)*INDEX(FinancialData[Sale Price],1),2)=ROUND(INDEX(FinancialData[Gross Sales],1),2)</f>
        <v>1</v>
      </c>
      <c r="C42" s="12" t="b" cm="1">
        <f t="array" ref="C42">ROUND(INDEX(FinancialData[Gross Sales],A42)-INDEX(FinancialData[Discounts],A42),2)=ROUND(INDEX(FinancialData[ [ Sales] ],A42),2)</f>
        <v>1</v>
      </c>
      <c r="D42" t="b" cm="1">
        <f t="array" ref="D42">ROUND(INDEX(FinancialData[ [ Sales] ],A42)-INDEX(FinancialData[COGS],A42),2)=ROUND(INDEX(FinancialData[Profit],A42),2)</f>
        <v>1</v>
      </c>
    </row>
    <row r="43" spans="1:4" x14ac:dyDescent="0.3">
      <c r="A43">
        <v>42</v>
      </c>
      <c r="B43" t="b">
        <f>ROUND(INDEX(FinancialData[Units Sold],1)*INDEX(FinancialData[Sale Price],1),2)=ROUND(INDEX(FinancialData[Gross Sales],1),2)</f>
        <v>1</v>
      </c>
      <c r="C43" s="12" t="b" cm="1">
        <f t="array" ref="C43">ROUND(INDEX(FinancialData[Gross Sales],A43)-INDEX(FinancialData[Discounts],A43),2)=ROUND(INDEX(FinancialData[ [ Sales] ],A43),2)</f>
        <v>1</v>
      </c>
      <c r="D43" t="b" cm="1">
        <f t="array" ref="D43">ROUND(INDEX(FinancialData[ [ Sales] ],A43)-INDEX(FinancialData[COGS],A43),2)=ROUND(INDEX(FinancialData[Profit],A43),2)</f>
        <v>1</v>
      </c>
    </row>
    <row r="44" spans="1:4" x14ac:dyDescent="0.3">
      <c r="A44">
        <v>43</v>
      </c>
      <c r="B44" t="b">
        <f>ROUND(INDEX(FinancialData[Units Sold],1)*INDEX(FinancialData[Sale Price],1),2)=ROUND(INDEX(FinancialData[Gross Sales],1),2)</f>
        <v>1</v>
      </c>
      <c r="C44" s="12" t="b" cm="1">
        <f t="array" ref="C44">ROUND(INDEX(FinancialData[Gross Sales],A44)-INDEX(FinancialData[Discounts],A44),2)=ROUND(INDEX(FinancialData[ [ Sales] ],A44),2)</f>
        <v>1</v>
      </c>
      <c r="D44" t="b" cm="1">
        <f t="array" ref="D44">ROUND(INDEX(FinancialData[ [ Sales] ],A44)-INDEX(FinancialData[COGS],A44),2)=ROUND(INDEX(FinancialData[Profit],A44),2)</f>
        <v>1</v>
      </c>
    </row>
    <row r="45" spans="1:4" x14ac:dyDescent="0.3">
      <c r="A45">
        <v>44</v>
      </c>
      <c r="B45" t="b">
        <f>ROUND(INDEX(FinancialData[Units Sold],1)*INDEX(FinancialData[Sale Price],1),2)=ROUND(INDEX(FinancialData[Gross Sales],1),2)</f>
        <v>1</v>
      </c>
      <c r="C45" s="12" t="b" cm="1">
        <f t="array" ref="C45">ROUND(INDEX(FinancialData[Gross Sales],A45)-INDEX(FinancialData[Discounts],A45),2)=ROUND(INDEX(FinancialData[ [ Sales] ],A45),2)</f>
        <v>1</v>
      </c>
      <c r="D45" t="b" cm="1">
        <f t="array" ref="D45">ROUND(INDEX(FinancialData[ [ Sales] ],A45)-INDEX(FinancialData[COGS],A45),2)=ROUND(INDEX(FinancialData[Profit],A45),2)</f>
        <v>1</v>
      </c>
    </row>
    <row r="46" spans="1:4" x14ac:dyDescent="0.3">
      <c r="A46">
        <v>45</v>
      </c>
      <c r="B46" t="b">
        <f>ROUND(INDEX(FinancialData[Units Sold],1)*INDEX(FinancialData[Sale Price],1),2)=ROUND(INDEX(FinancialData[Gross Sales],1),2)</f>
        <v>1</v>
      </c>
      <c r="C46" s="12" t="b" cm="1">
        <f t="array" ref="C46">ROUND(INDEX(FinancialData[Gross Sales],A46)-INDEX(FinancialData[Discounts],A46),2)=ROUND(INDEX(FinancialData[ [ Sales] ],A46),2)</f>
        <v>1</v>
      </c>
      <c r="D46" t="b" cm="1">
        <f t="array" ref="D46">ROUND(INDEX(FinancialData[ [ Sales] ],A46)-INDEX(FinancialData[COGS],A46),2)=ROUND(INDEX(FinancialData[Profit],A46),2)</f>
        <v>1</v>
      </c>
    </row>
    <row r="47" spans="1:4" x14ac:dyDescent="0.3">
      <c r="A47">
        <v>46</v>
      </c>
      <c r="B47" t="b">
        <f>ROUND(INDEX(FinancialData[Units Sold],1)*INDEX(FinancialData[Sale Price],1),2)=ROUND(INDEX(FinancialData[Gross Sales],1),2)</f>
        <v>1</v>
      </c>
      <c r="C47" s="12" t="b" cm="1">
        <f t="array" ref="C47">ROUND(INDEX(FinancialData[Gross Sales],A47)-INDEX(FinancialData[Discounts],A47),2)=ROUND(INDEX(FinancialData[ [ Sales] ],A47),2)</f>
        <v>1</v>
      </c>
      <c r="D47" t="b" cm="1">
        <f t="array" ref="D47">ROUND(INDEX(FinancialData[ [ Sales] ],A47)-INDEX(FinancialData[COGS],A47),2)=ROUND(INDEX(FinancialData[Profit],A47),2)</f>
        <v>1</v>
      </c>
    </row>
    <row r="48" spans="1:4" x14ac:dyDescent="0.3">
      <c r="A48">
        <v>47</v>
      </c>
      <c r="B48" t="b">
        <f>ROUND(INDEX(FinancialData[Units Sold],1)*INDEX(FinancialData[Sale Price],1),2)=ROUND(INDEX(FinancialData[Gross Sales],1),2)</f>
        <v>1</v>
      </c>
      <c r="C48" s="12" t="b" cm="1">
        <f t="array" ref="C48">ROUND(INDEX(FinancialData[Gross Sales],A48)-INDEX(FinancialData[Discounts],A48),2)=ROUND(INDEX(FinancialData[ [ Sales] ],A48),2)</f>
        <v>1</v>
      </c>
      <c r="D48" t="b" cm="1">
        <f t="array" ref="D48">ROUND(INDEX(FinancialData[ [ Sales] ],A48)-INDEX(FinancialData[COGS],A48),2)=ROUND(INDEX(FinancialData[Profit],A48),2)</f>
        <v>1</v>
      </c>
    </row>
    <row r="49" spans="1:4" x14ac:dyDescent="0.3">
      <c r="A49">
        <v>48</v>
      </c>
      <c r="B49" t="b">
        <f>ROUND(INDEX(FinancialData[Units Sold],1)*INDEX(FinancialData[Sale Price],1),2)=ROUND(INDEX(FinancialData[Gross Sales],1),2)</f>
        <v>1</v>
      </c>
      <c r="C49" s="12" t="b" cm="1">
        <f t="array" ref="C49">ROUND(INDEX(FinancialData[Gross Sales],A49)-INDEX(FinancialData[Discounts],A49),2)=ROUND(INDEX(FinancialData[ [ Sales] ],A49),2)</f>
        <v>1</v>
      </c>
      <c r="D49" t="b" cm="1">
        <f t="array" ref="D49">ROUND(INDEX(FinancialData[ [ Sales] ],A49)-INDEX(FinancialData[COGS],A49),2)=ROUND(INDEX(FinancialData[Profit],A49),2)</f>
        <v>1</v>
      </c>
    </row>
    <row r="50" spans="1:4" x14ac:dyDescent="0.3">
      <c r="A50">
        <v>49</v>
      </c>
      <c r="B50" t="b">
        <f>ROUND(INDEX(FinancialData[Units Sold],1)*INDEX(FinancialData[Sale Price],1),2)=ROUND(INDEX(FinancialData[Gross Sales],1),2)</f>
        <v>1</v>
      </c>
      <c r="C50" s="12" t="b" cm="1">
        <f t="array" ref="C50">ROUND(INDEX(FinancialData[Gross Sales],A50)-INDEX(FinancialData[Discounts],A50),2)=ROUND(INDEX(FinancialData[ [ Sales] ],A50),2)</f>
        <v>1</v>
      </c>
      <c r="D50" t="b" cm="1">
        <f t="array" ref="D50">ROUND(INDEX(FinancialData[ [ Sales] ],A50)-INDEX(FinancialData[COGS],A50),2)=ROUND(INDEX(FinancialData[Profit],A50),2)</f>
        <v>1</v>
      </c>
    </row>
    <row r="51" spans="1:4" x14ac:dyDescent="0.3">
      <c r="A51">
        <v>50</v>
      </c>
      <c r="B51" t="b">
        <f>ROUND(INDEX(FinancialData[Units Sold],1)*INDEX(FinancialData[Sale Price],1),2)=ROUND(INDEX(FinancialData[Gross Sales],1),2)</f>
        <v>1</v>
      </c>
      <c r="C51" s="12" t="b" cm="1">
        <f t="array" ref="C51">ROUND(INDEX(FinancialData[Gross Sales],A51)-INDEX(FinancialData[Discounts],A51),2)=ROUND(INDEX(FinancialData[ [ Sales] ],A51),2)</f>
        <v>1</v>
      </c>
      <c r="D51" t="b" cm="1">
        <f t="array" ref="D51">ROUND(INDEX(FinancialData[ [ Sales] ],A51)-INDEX(FinancialData[COGS],A51),2)=ROUND(INDEX(FinancialData[Profit],A51),2)</f>
        <v>1</v>
      </c>
    </row>
    <row r="52" spans="1:4" x14ac:dyDescent="0.3">
      <c r="A52">
        <v>51</v>
      </c>
      <c r="B52" t="b">
        <f>ROUND(INDEX(FinancialData[Units Sold],1)*INDEX(FinancialData[Sale Price],1),2)=ROUND(INDEX(FinancialData[Gross Sales],1),2)</f>
        <v>1</v>
      </c>
      <c r="C52" s="12" t="b" cm="1">
        <f t="array" ref="C52">ROUND(INDEX(FinancialData[Gross Sales],A52)-INDEX(FinancialData[Discounts],A52),2)=ROUND(INDEX(FinancialData[ [ Sales] ],A52),2)</f>
        <v>1</v>
      </c>
      <c r="D52" t="b" cm="1">
        <f t="array" ref="D52">ROUND(INDEX(FinancialData[ [ Sales] ],A52)-INDEX(FinancialData[COGS],A52),2)=ROUND(INDEX(FinancialData[Profit],A52),2)</f>
        <v>1</v>
      </c>
    </row>
    <row r="53" spans="1:4" x14ac:dyDescent="0.3">
      <c r="A53">
        <v>52</v>
      </c>
      <c r="B53" t="b">
        <f>ROUND(INDEX(FinancialData[Units Sold],1)*INDEX(FinancialData[Sale Price],1),2)=ROUND(INDEX(FinancialData[Gross Sales],1),2)</f>
        <v>1</v>
      </c>
      <c r="C53" s="12" t="b" cm="1">
        <f t="array" ref="C53">ROUND(INDEX(FinancialData[Gross Sales],A53)-INDEX(FinancialData[Discounts],A53),2)=ROUND(INDEX(FinancialData[ [ Sales] ],A53),2)</f>
        <v>1</v>
      </c>
      <c r="D53" t="b" cm="1">
        <f t="array" ref="D53">ROUND(INDEX(FinancialData[ [ Sales] ],A53)-INDEX(FinancialData[COGS],A53),2)=ROUND(INDEX(FinancialData[Profit],A53),2)</f>
        <v>1</v>
      </c>
    </row>
    <row r="54" spans="1:4" x14ac:dyDescent="0.3">
      <c r="A54">
        <v>53</v>
      </c>
      <c r="B54" t="b">
        <f>ROUND(INDEX(FinancialData[Units Sold],1)*INDEX(FinancialData[Sale Price],1),2)=ROUND(INDEX(FinancialData[Gross Sales],1),2)</f>
        <v>1</v>
      </c>
      <c r="C54" s="12" t="b" cm="1">
        <f t="array" ref="C54">ROUND(INDEX(FinancialData[Gross Sales],A54)-INDEX(FinancialData[Discounts],A54),2)=ROUND(INDEX(FinancialData[ [ Sales] ],A54),2)</f>
        <v>1</v>
      </c>
      <c r="D54" t="b" cm="1">
        <f t="array" ref="D54">ROUND(INDEX(FinancialData[ [ Sales] ],A54)-INDEX(FinancialData[COGS],A54),2)=ROUND(INDEX(FinancialData[Profit],A54),2)</f>
        <v>1</v>
      </c>
    </row>
    <row r="55" spans="1:4" x14ac:dyDescent="0.3">
      <c r="A55">
        <v>54</v>
      </c>
      <c r="B55" t="b">
        <f>ROUND(INDEX(FinancialData[Units Sold],1)*INDEX(FinancialData[Sale Price],1),2)=ROUND(INDEX(FinancialData[Gross Sales],1),2)</f>
        <v>1</v>
      </c>
      <c r="C55" s="12" t="b" cm="1">
        <f t="array" ref="C55">ROUND(INDEX(FinancialData[Gross Sales],A55)-INDEX(FinancialData[Discounts],A55),2)=ROUND(INDEX(FinancialData[ [ Sales] ],A55),2)</f>
        <v>1</v>
      </c>
      <c r="D55" t="b" cm="1">
        <f t="array" ref="D55">ROUND(INDEX(FinancialData[ [ Sales] ],A55)-INDEX(FinancialData[COGS],A55),2)=ROUND(INDEX(FinancialData[Profit],A55),2)</f>
        <v>1</v>
      </c>
    </row>
    <row r="56" spans="1:4" x14ac:dyDescent="0.3">
      <c r="A56">
        <v>55</v>
      </c>
      <c r="B56" t="b">
        <f>ROUND(INDEX(FinancialData[Units Sold],1)*INDEX(FinancialData[Sale Price],1),2)=ROUND(INDEX(FinancialData[Gross Sales],1),2)</f>
        <v>1</v>
      </c>
      <c r="C56" s="12" t="b" cm="1">
        <f t="array" ref="C56">ROUND(INDEX(FinancialData[Gross Sales],A56)-INDEX(FinancialData[Discounts],A56),2)=ROUND(INDEX(FinancialData[ [ Sales] ],A56),2)</f>
        <v>1</v>
      </c>
      <c r="D56" t="b" cm="1">
        <f t="array" ref="D56">ROUND(INDEX(FinancialData[ [ Sales] ],A56)-INDEX(FinancialData[COGS],A56),2)=ROUND(INDEX(FinancialData[Profit],A56),2)</f>
        <v>1</v>
      </c>
    </row>
    <row r="57" spans="1:4" x14ac:dyDescent="0.3">
      <c r="A57">
        <v>56</v>
      </c>
      <c r="B57" t="b">
        <f>ROUND(INDEX(FinancialData[Units Sold],1)*INDEX(FinancialData[Sale Price],1),2)=ROUND(INDEX(FinancialData[Gross Sales],1),2)</f>
        <v>1</v>
      </c>
      <c r="C57" s="12" t="b" cm="1">
        <f t="array" ref="C57">ROUND(INDEX(FinancialData[Gross Sales],A57)-INDEX(FinancialData[Discounts],A57),2)=ROUND(INDEX(FinancialData[ [ Sales] ],A57),2)</f>
        <v>1</v>
      </c>
      <c r="D57" t="b" cm="1">
        <f t="array" ref="D57">ROUND(INDEX(FinancialData[ [ Sales] ],A57)-INDEX(FinancialData[COGS],A57),2)=ROUND(INDEX(FinancialData[Profit],A57),2)</f>
        <v>1</v>
      </c>
    </row>
    <row r="58" spans="1:4" x14ac:dyDescent="0.3">
      <c r="A58">
        <v>57</v>
      </c>
      <c r="B58" t="b">
        <f>ROUND(INDEX(FinancialData[Units Sold],1)*INDEX(FinancialData[Sale Price],1),2)=ROUND(INDEX(FinancialData[Gross Sales],1),2)</f>
        <v>1</v>
      </c>
      <c r="C58" s="12" t="b" cm="1">
        <f t="array" ref="C58">ROUND(INDEX(FinancialData[Gross Sales],A58)-INDEX(FinancialData[Discounts],A58),2)=ROUND(INDEX(FinancialData[ [ Sales] ],A58),2)</f>
        <v>1</v>
      </c>
      <c r="D58" t="b" cm="1">
        <f t="array" ref="D58">ROUND(INDEX(FinancialData[ [ Sales] ],A58)-INDEX(FinancialData[COGS],A58),2)=ROUND(INDEX(FinancialData[Profit],A58),2)</f>
        <v>1</v>
      </c>
    </row>
    <row r="59" spans="1:4" x14ac:dyDescent="0.3">
      <c r="A59">
        <v>58</v>
      </c>
      <c r="B59" t="b">
        <f>ROUND(INDEX(FinancialData[Units Sold],1)*INDEX(FinancialData[Sale Price],1),2)=ROUND(INDEX(FinancialData[Gross Sales],1),2)</f>
        <v>1</v>
      </c>
      <c r="C59" s="12" t="b" cm="1">
        <f t="array" ref="C59">ROUND(INDEX(FinancialData[Gross Sales],A59)-INDEX(FinancialData[Discounts],A59),2)=ROUND(INDEX(FinancialData[ [ Sales] ],A59),2)</f>
        <v>1</v>
      </c>
      <c r="D59" t="b" cm="1">
        <f t="array" ref="D59">ROUND(INDEX(FinancialData[ [ Sales] ],A59)-INDEX(FinancialData[COGS],A59),2)=ROUND(INDEX(FinancialData[Profit],A59),2)</f>
        <v>1</v>
      </c>
    </row>
    <row r="60" spans="1:4" x14ac:dyDescent="0.3">
      <c r="A60">
        <v>59</v>
      </c>
      <c r="B60" t="b">
        <f>ROUND(INDEX(FinancialData[Units Sold],1)*INDEX(FinancialData[Sale Price],1),2)=ROUND(INDEX(FinancialData[Gross Sales],1),2)</f>
        <v>1</v>
      </c>
      <c r="C60" s="12" t="b" cm="1">
        <f t="array" ref="C60">ROUND(INDEX(FinancialData[Gross Sales],A60)-INDEX(FinancialData[Discounts],A60),2)=ROUND(INDEX(FinancialData[ [ Sales] ],A60),2)</f>
        <v>1</v>
      </c>
      <c r="D60" t="b" cm="1">
        <f t="array" ref="D60">ROUND(INDEX(FinancialData[ [ Sales] ],A60)-INDEX(FinancialData[COGS],A60),2)=ROUND(INDEX(FinancialData[Profit],A60),2)</f>
        <v>1</v>
      </c>
    </row>
    <row r="61" spans="1:4" x14ac:dyDescent="0.3">
      <c r="A61">
        <v>60</v>
      </c>
      <c r="B61" t="b">
        <f>ROUND(INDEX(FinancialData[Units Sold],1)*INDEX(FinancialData[Sale Price],1),2)=ROUND(INDEX(FinancialData[Gross Sales],1),2)</f>
        <v>1</v>
      </c>
      <c r="C61" s="12" t="b" cm="1">
        <f t="array" ref="C61">ROUND(INDEX(FinancialData[Gross Sales],A61)-INDEX(FinancialData[Discounts],A61),2)=ROUND(INDEX(FinancialData[ [ Sales] ],A61),2)</f>
        <v>1</v>
      </c>
      <c r="D61" t="b" cm="1">
        <f t="array" ref="D61">ROUND(INDEX(FinancialData[ [ Sales] ],A61)-INDEX(FinancialData[COGS],A61),2)=ROUND(INDEX(FinancialData[Profit],A61),2)</f>
        <v>1</v>
      </c>
    </row>
    <row r="62" spans="1:4" x14ac:dyDescent="0.3">
      <c r="A62">
        <v>61</v>
      </c>
      <c r="B62" t="b">
        <f>ROUND(INDEX(FinancialData[Units Sold],1)*INDEX(FinancialData[Sale Price],1),2)=ROUND(INDEX(FinancialData[Gross Sales],1),2)</f>
        <v>1</v>
      </c>
      <c r="C62" s="12" t="b" cm="1">
        <f t="array" ref="C62">ROUND(INDEX(FinancialData[Gross Sales],A62)-INDEX(FinancialData[Discounts],A62),2)=ROUND(INDEX(FinancialData[ [ Sales] ],A62),2)</f>
        <v>1</v>
      </c>
      <c r="D62" t="b" cm="1">
        <f t="array" ref="D62">ROUND(INDEX(FinancialData[ [ Sales] ],A62)-INDEX(FinancialData[COGS],A62),2)=ROUND(INDEX(FinancialData[Profit],A62),2)</f>
        <v>1</v>
      </c>
    </row>
    <row r="63" spans="1:4" x14ac:dyDescent="0.3">
      <c r="A63">
        <v>62</v>
      </c>
      <c r="B63" t="b">
        <f>ROUND(INDEX(FinancialData[Units Sold],1)*INDEX(FinancialData[Sale Price],1),2)=ROUND(INDEX(FinancialData[Gross Sales],1),2)</f>
        <v>1</v>
      </c>
      <c r="C63" s="12" t="b" cm="1">
        <f t="array" ref="C63">ROUND(INDEX(FinancialData[Gross Sales],A63)-INDEX(FinancialData[Discounts],A63),2)=ROUND(INDEX(FinancialData[ [ Sales] ],A63),2)</f>
        <v>1</v>
      </c>
      <c r="D63" t="b" cm="1">
        <f t="array" ref="D63">ROUND(INDEX(FinancialData[ [ Sales] ],A63)-INDEX(FinancialData[COGS],A63),2)=ROUND(INDEX(FinancialData[Profit],A63),2)</f>
        <v>1</v>
      </c>
    </row>
    <row r="64" spans="1:4" x14ac:dyDescent="0.3">
      <c r="A64">
        <v>63</v>
      </c>
      <c r="B64" t="b">
        <f>ROUND(INDEX(FinancialData[Units Sold],1)*INDEX(FinancialData[Sale Price],1),2)=ROUND(INDEX(FinancialData[Gross Sales],1),2)</f>
        <v>1</v>
      </c>
      <c r="C64" s="12" t="b" cm="1">
        <f t="array" ref="C64">ROUND(INDEX(FinancialData[Gross Sales],A64)-INDEX(FinancialData[Discounts],A64),2)=ROUND(INDEX(FinancialData[ [ Sales] ],A64),2)</f>
        <v>1</v>
      </c>
      <c r="D64" t="b" cm="1">
        <f t="array" ref="D64">ROUND(INDEX(FinancialData[ [ Sales] ],A64)-INDEX(FinancialData[COGS],A64),2)=ROUND(INDEX(FinancialData[Profit],A64),2)</f>
        <v>1</v>
      </c>
    </row>
    <row r="65" spans="1:4" x14ac:dyDescent="0.3">
      <c r="A65">
        <v>64</v>
      </c>
      <c r="B65" t="b">
        <f>ROUND(INDEX(FinancialData[Units Sold],1)*INDEX(FinancialData[Sale Price],1),2)=ROUND(INDEX(FinancialData[Gross Sales],1),2)</f>
        <v>1</v>
      </c>
      <c r="C65" s="12" t="b" cm="1">
        <f t="array" ref="C65">ROUND(INDEX(FinancialData[Gross Sales],A65)-INDEX(FinancialData[Discounts],A65),2)=ROUND(INDEX(FinancialData[ [ Sales] ],A65),2)</f>
        <v>1</v>
      </c>
      <c r="D65" t="b" cm="1">
        <f t="array" ref="D65">ROUND(INDEX(FinancialData[ [ Sales] ],A65)-INDEX(FinancialData[COGS],A65),2)=ROUND(INDEX(FinancialData[Profit],A65),2)</f>
        <v>1</v>
      </c>
    </row>
    <row r="66" spans="1:4" x14ac:dyDescent="0.3">
      <c r="A66">
        <v>65</v>
      </c>
      <c r="B66" t="b">
        <f>ROUND(INDEX(FinancialData[Units Sold],1)*INDEX(FinancialData[Sale Price],1),2)=ROUND(INDEX(FinancialData[Gross Sales],1),2)</f>
        <v>1</v>
      </c>
      <c r="C66" s="12" t="b" cm="1">
        <f t="array" ref="C66">ROUND(INDEX(FinancialData[Gross Sales],A66)-INDEX(FinancialData[Discounts],A66),2)=ROUND(INDEX(FinancialData[ [ Sales] ],A66),2)</f>
        <v>1</v>
      </c>
      <c r="D66" t="b" cm="1">
        <f t="array" ref="D66">ROUND(INDEX(FinancialData[ [ Sales] ],A66)-INDEX(FinancialData[COGS],A66),2)=ROUND(INDEX(FinancialData[Profit],A66),2)</f>
        <v>1</v>
      </c>
    </row>
    <row r="67" spans="1:4" x14ac:dyDescent="0.3">
      <c r="A67">
        <v>66</v>
      </c>
      <c r="B67" t="b">
        <f>ROUND(INDEX(FinancialData[Units Sold],1)*INDEX(FinancialData[Sale Price],1),2)=ROUND(INDEX(FinancialData[Gross Sales],1),2)</f>
        <v>1</v>
      </c>
      <c r="C67" s="12" t="b" cm="1">
        <f t="array" ref="C67">ROUND(INDEX(FinancialData[Gross Sales],A67)-INDEX(FinancialData[Discounts],A67),2)=ROUND(INDEX(FinancialData[ [ Sales] ],A67),2)</f>
        <v>1</v>
      </c>
      <c r="D67" t="b" cm="1">
        <f t="array" ref="D67">ROUND(INDEX(FinancialData[ [ Sales] ],A67)-INDEX(FinancialData[COGS],A67),2)=ROUND(INDEX(FinancialData[Profit],A67),2)</f>
        <v>1</v>
      </c>
    </row>
    <row r="68" spans="1:4" x14ac:dyDescent="0.3">
      <c r="A68">
        <v>67</v>
      </c>
      <c r="B68" t="b">
        <f>ROUND(INDEX(FinancialData[Units Sold],1)*INDEX(FinancialData[Sale Price],1),2)=ROUND(INDEX(FinancialData[Gross Sales],1),2)</f>
        <v>1</v>
      </c>
      <c r="C68" s="12" t="b" cm="1">
        <f t="array" ref="C68">ROUND(INDEX(FinancialData[Gross Sales],A68)-INDEX(FinancialData[Discounts],A68),2)=ROUND(INDEX(FinancialData[ [ Sales] ],A68),2)</f>
        <v>1</v>
      </c>
      <c r="D68" t="b" cm="1">
        <f t="array" ref="D68">ROUND(INDEX(FinancialData[ [ Sales] ],A68)-INDEX(FinancialData[COGS],A68),2)=ROUND(INDEX(FinancialData[Profit],A68),2)</f>
        <v>1</v>
      </c>
    </row>
    <row r="69" spans="1:4" x14ac:dyDescent="0.3">
      <c r="A69">
        <v>68</v>
      </c>
      <c r="B69" t="b">
        <f>ROUND(INDEX(FinancialData[Units Sold],1)*INDEX(FinancialData[Sale Price],1),2)=ROUND(INDEX(FinancialData[Gross Sales],1),2)</f>
        <v>1</v>
      </c>
      <c r="C69" s="12" t="b" cm="1">
        <f t="array" ref="C69">ROUND(INDEX(FinancialData[Gross Sales],A69)-INDEX(FinancialData[Discounts],A69),2)=ROUND(INDEX(FinancialData[ [ Sales] ],A69),2)</f>
        <v>1</v>
      </c>
      <c r="D69" t="b" cm="1">
        <f t="array" ref="D69">ROUND(INDEX(FinancialData[ [ Sales] ],A69)-INDEX(FinancialData[COGS],A69),2)=ROUND(INDEX(FinancialData[Profit],A69),2)</f>
        <v>1</v>
      </c>
    </row>
    <row r="70" spans="1:4" x14ac:dyDescent="0.3">
      <c r="A70">
        <v>69</v>
      </c>
      <c r="B70" t="b">
        <f>ROUND(INDEX(FinancialData[Units Sold],1)*INDEX(FinancialData[Sale Price],1),2)=ROUND(INDEX(FinancialData[Gross Sales],1),2)</f>
        <v>1</v>
      </c>
      <c r="C70" s="12" t="b" cm="1">
        <f t="array" ref="C70">ROUND(INDEX(FinancialData[Gross Sales],A70)-INDEX(FinancialData[Discounts],A70),2)=ROUND(INDEX(FinancialData[ [ Sales] ],A70),2)</f>
        <v>1</v>
      </c>
      <c r="D70" t="b" cm="1">
        <f t="array" ref="D70">ROUND(INDEX(FinancialData[ [ Sales] ],A70)-INDEX(FinancialData[COGS],A70),2)=ROUND(INDEX(FinancialData[Profit],A70),2)</f>
        <v>1</v>
      </c>
    </row>
    <row r="71" spans="1:4" x14ac:dyDescent="0.3">
      <c r="A71">
        <v>70</v>
      </c>
      <c r="B71" t="b">
        <f>ROUND(INDEX(FinancialData[Units Sold],1)*INDEX(FinancialData[Sale Price],1),2)=ROUND(INDEX(FinancialData[Gross Sales],1),2)</f>
        <v>1</v>
      </c>
      <c r="C71" s="12" t="b" cm="1">
        <f t="array" ref="C71">ROUND(INDEX(FinancialData[Gross Sales],A71)-INDEX(FinancialData[Discounts],A71),2)=ROUND(INDEX(FinancialData[ [ Sales] ],A71),2)</f>
        <v>1</v>
      </c>
      <c r="D71" t="b" cm="1">
        <f t="array" ref="D71">ROUND(INDEX(FinancialData[ [ Sales] ],A71)-INDEX(FinancialData[COGS],A71),2)=ROUND(INDEX(FinancialData[Profit],A71),2)</f>
        <v>1</v>
      </c>
    </row>
    <row r="72" spans="1:4" x14ac:dyDescent="0.3">
      <c r="A72">
        <v>71</v>
      </c>
      <c r="B72" t="b">
        <f>ROUND(INDEX(FinancialData[Units Sold],1)*INDEX(FinancialData[Sale Price],1),2)=ROUND(INDEX(FinancialData[Gross Sales],1),2)</f>
        <v>1</v>
      </c>
      <c r="C72" s="12" t="b" cm="1">
        <f t="array" ref="C72">ROUND(INDEX(FinancialData[Gross Sales],A72)-INDEX(FinancialData[Discounts],A72),2)=ROUND(INDEX(FinancialData[ [ Sales] ],A72),2)</f>
        <v>1</v>
      </c>
      <c r="D72" t="b" cm="1">
        <f t="array" ref="D72">ROUND(INDEX(FinancialData[ [ Sales] ],A72)-INDEX(FinancialData[COGS],A72),2)=ROUND(INDEX(FinancialData[Profit],A72),2)</f>
        <v>1</v>
      </c>
    </row>
    <row r="73" spans="1:4" x14ac:dyDescent="0.3">
      <c r="A73">
        <v>72</v>
      </c>
      <c r="B73" t="b">
        <f>ROUND(INDEX(FinancialData[Units Sold],1)*INDEX(FinancialData[Sale Price],1),2)=ROUND(INDEX(FinancialData[Gross Sales],1),2)</f>
        <v>1</v>
      </c>
      <c r="C73" s="12" t="b" cm="1">
        <f t="array" ref="C73">ROUND(INDEX(FinancialData[Gross Sales],A73)-INDEX(FinancialData[Discounts],A73),2)=ROUND(INDEX(FinancialData[ [ Sales] ],A73),2)</f>
        <v>1</v>
      </c>
      <c r="D73" t="b" cm="1">
        <f t="array" ref="D73">ROUND(INDEX(FinancialData[ [ Sales] ],A73)-INDEX(FinancialData[COGS],A73),2)=ROUND(INDEX(FinancialData[Profit],A73),2)</f>
        <v>1</v>
      </c>
    </row>
    <row r="74" spans="1:4" x14ac:dyDescent="0.3">
      <c r="A74">
        <v>73</v>
      </c>
      <c r="B74" t="b">
        <f>ROUND(INDEX(FinancialData[Units Sold],1)*INDEX(FinancialData[Sale Price],1),2)=ROUND(INDEX(FinancialData[Gross Sales],1),2)</f>
        <v>1</v>
      </c>
      <c r="C74" s="12" t="b" cm="1">
        <f t="array" ref="C74">ROUND(INDEX(FinancialData[Gross Sales],A74)-INDEX(FinancialData[Discounts],A74),2)=ROUND(INDEX(FinancialData[ [ Sales] ],A74),2)</f>
        <v>1</v>
      </c>
      <c r="D74" t="b" cm="1">
        <f t="array" ref="D74">ROUND(INDEX(FinancialData[ [ Sales] ],A74)-INDEX(FinancialData[COGS],A74),2)=ROUND(INDEX(FinancialData[Profit],A74),2)</f>
        <v>1</v>
      </c>
    </row>
    <row r="75" spans="1:4" x14ac:dyDescent="0.3">
      <c r="A75">
        <v>74</v>
      </c>
      <c r="B75" t="b">
        <f>ROUND(INDEX(FinancialData[Units Sold],1)*INDEX(FinancialData[Sale Price],1),2)=ROUND(INDEX(FinancialData[Gross Sales],1),2)</f>
        <v>1</v>
      </c>
      <c r="C75" s="12" t="b" cm="1">
        <f t="array" ref="C75">ROUND(INDEX(FinancialData[Gross Sales],A75)-INDEX(FinancialData[Discounts],A75),2)=ROUND(INDEX(FinancialData[ [ Sales] ],A75),2)</f>
        <v>1</v>
      </c>
      <c r="D75" t="b" cm="1">
        <f t="array" ref="D75">ROUND(INDEX(FinancialData[ [ Sales] ],A75)-INDEX(FinancialData[COGS],A75),2)=ROUND(INDEX(FinancialData[Profit],A75),2)</f>
        <v>1</v>
      </c>
    </row>
    <row r="76" spans="1:4" x14ac:dyDescent="0.3">
      <c r="A76">
        <v>75</v>
      </c>
      <c r="B76" t="b">
        <f>ROUND(INDEX(FinancialData[Units Sold],1)*INDEX(FinancialData[Sale Price],1),2)=ROUND(INDEX(FinancialData[Gross Sales],1),2)</f>
        <v>1</v>
      </c>
      <c r="C76" s="12" t="b" cm="1">
        <f t="array" ref="C76">ROUND(INDEX(FinancialData[Gross Sales],A76)-INDEX(FinancialData[Discounts],A76),2)=ROUND(INDEX(FinancialData[ [ Sales] ],A76),2)</f>
        <v>1</v>
      </c>
      <c r="D76" t="b" cm="1">
        <f t="array" ref="D76">ROUND(INDEX(FinancialData[ [ Sales] ],A76)-INDEX(FinancialData[COGS],A76),2)=ROUND(INDEX(FinancialData[Profit],A76),2)</f>
        <v>1</v>
      </c>
    </row>
    <row r="77" spans="1:4" x14ac:dyDescent="0.3">
      <c r="A77">
        <v>76</v>
      </c>
      <c r="B77" t="b">
        <f>ROUND(INDEX(FinancialData[Units Sold],1)*INDEX(FinancialData[Sale Price],1),2)=ROUND(INDEX(FinancialData[Gross Sales],1),2)</f>
        <v>1</v>
      </c>
      <c r="C77" s="12" t="b" cm="1">
        <f t="array" ref="C77">ROUND(INDEX(FinancialData[Gross Sales],A77)-INDEX(FinancialData[Discounts],A77),2)=ROUND(INDEX(FinancialData[ [ Sales] ],A77),2)</f>
        <v>1</v>
      </c>
      <c r="D77" t="b" cm="1">
        <f t="array" ref="D77">ROUND(INDEX(FinancialData[ [ Sales] ],A77)-INDEX(FinancialData[COGS],A77),2)=ROUND(INDEX(FinancialData[Profit],A77),2)</f>
        <v>1</v>
      </c>
    </row>
    <row r="78" spans="1:4" x14ac:dyDescent="0.3">
      <c r="A78">
        <v>77</v>
      </c>
      <c r="B78" t="b">
        <f>ROUND(INDEX(FinancialData[Units Sold],1)*INDEX(FinancialData[Sale Price],1),2)=ROUND(INDEX(FinancialData[Gross Sales],1),2)</f>
        <v>1</v>
      </c>
      <c r="C78" s="12" t="b" cm="1">
        <f t="array" ref="C78">ROUND(INDEX(FinancialData[Gross Sales],A78)-INDEX(FinancialData[Discounts],A78),2)=ROUND(INDEX(FinancialData[ [ Sales] ],A78),2)</f>
        <v>1</v>
      </c>
      <c r="D78" t="b" cm="1">
        <f t="array" ref="D78">ROUND(INDEX(FinancialData[ [ Sales] ],A78)-INDEX(FinancialData[COGS],A78),2)=ROUND(INDEX(FinancialData[Profit],A78),2)</f>
        <v>1</v>
      </c>
    </row>
    <row r="79" spans="1:4" x14ac:dyDescent="0.3">
      <c r="A79">
        <v>78</v>
      </c>
      <c r="B79" t="b">
        <f>ROUND(INDEX(FinancialData[Units Sold],1)*INDEX(FinancialData[Sale Price],1),2)=ROUND(INDEX(FinancialData[Gross Sales],1),2)</f>
        <v>1</v>
      </c>
      <c r="C79" s="12" t="b" cm="1">
        <f t="array" ref="C79">ROUND(INDEX(FinancialData[Gross Sales],A79)-INDEX(FinancialData[Discounts],A79),2)=ROUND(INDEX(FinancialData[ [ Sales] ],A79),2)</f>
        <v>1</v>
      </c>
      <c r="D79" t="b" cm="1">
        <f t="array" ref="D79">ROUND(INDEX(FinancialData[ [ Sales] ],A79)-INDEX(FinancialData[COGS],A79),2)=ROUND(INDEX(FinancialData[Profit],A79),2)</f>
        <v>1</v>
      </c>
    </row>
    <row r="80" spans="1:4" x14ac:dyDescent="0.3">
      <c r="A80">
        <v>79</v>
      </c>
      <c r="B80" t="b">
        <f>ROUND(INDEX(FinancialData[Units Sold],1)*INDEX(FinancialData[Sale Price],1),2)=ROUND(INDEX(FinancialData[Gross Sales],1),2)</f>
        <v>1</v>
      </c>
      <c r="C80" s="12" t="b" cm="1">
        <f t="array" ref="C80">ROUND(INDEX(FinancialData[Gross Sales],A80)-INDEX(FinancialData[Discounts],A80),2)=ROUND(INDEX(FinancialData[ [ Sales] ],A80),2)</f>
        <v>1</v>
      </c>
      <c r="D80" t="b" cm="1">
        <f t="array" ref="D80">ROUND(INDEX(FinancialData[ [ Sales] ],A80)-INDEX(FinancialData[COGS],A80),2)=ROUND(INDEX(FinancialData[Profit],A80),2)</f>
        <v>1</v>
      </c>
    </row>
    <row r="81" spans="1:4" x14ac:dyDescent="0.3">
      <c r="A81">
        <v>80</v>
      </c>
      <c r="B81" t="b">
        <f>ROUND(INDEX(FinancialData[Units Sold],1)*INDEX(FinancialData[Sale Price],1),2)=ROUND(INDEX(FinancialData[Gross Sales],1),2)</f>
        <v>1</v>
      </c>
      <c r="C81" s="12" t="b" cm="1">
        <f t="array" ref="C81">ROUND(INDEX(FinancialData[Gross Sales],A81)-INDEX(FinancialData[Discounts],A81),2)=ROUND(INDEX(FinancialData[ [ Sales] ],A81),2)</f>
        <v>1</v>
      </c>
      <c r="D81" t="b" cm="1">
        <f t="array" ref="D81">ROUND(INDEX(FinancialData[ [ Sales] ],A81)-INDEX(FinancialData[COGS],A81),2)=ROUND(INDEX(FinancialData[Profit],A81),2)</f>
        <v>1</v>
      </c>
    </row>
    <row r="82" spans="1:4" x14ac:dyDescent="0.3">
      <c r="A82">
        <v>81</v>
      </c>
      <c r="B82" t="b">
        <f>ROUND(INDEX(FinancialData[Units Sold],1)*INDEX(FinancialData[Sale Price],1),2)=ROUND(INDEX(FinancialData[Gross Sales],1),2)</f>
        <v>1</v>
      </c>
      <c r="C82" s="12" t="b" cm="1">
        <f t="array" ref="C82">ROUND(INDEX(FinancialData[Gross Sales],A82)-INDEX(FinancialData[Discounts],A82),2)=ROUND(INDEX(FinancialData[ [ Sales] ],A82),2)</f>
        <v>1</v>
      </c>
      <c r="D82" t="b" cm="1">
        <f t="array" ref="D82">ROUND(INDEX(FinancialData[ [ Sales] ],A82)-INDEX(FinancialData[COGS],A82),2)=ROUND(INDEX(FinancialData[Profit],A82),2)</f>
        <v>1</v>
      </c>
    </row>
    <row r="83" spans="1:4" x14ac:dyDescent="0.3">
      <c r="A83">
        <v>82</v>
      </c>
      <c r="B83" t="b">
        <f>ROUND(INDEX(FinancialData[Units Sold],1)*INDEX(FinancialData[Sale Price],1),2)=ROUND(INDEX(FinancialData[Gross Sales],1),2)</f>
        <v>1</v>
      </c>
      <c r="C83" s="12" t="b" cm="1">
        <f t="array" ref="C83">ROUND(INDEX(FinancialData[Gross Sales],A83)-INDEX(FinancialData[Discounts],A83),2)=ROUND(INDEX(FinancialData[ [ Sales] ],A83),2)</f>
        <v>1</v>
      </c>
      <c r="D83" t="b" cm="1">
        <f t="array" ref="D83">ROUND(INDEX(FinancialData[ [ Sales] ],A83)-INDEX(FinancialData[COGS],A83),2)=ROUND(INDEX(FinancialData[Profit],A83),2)</f>
        <v>1</v>
      </c>
    </row>
    <row r="84" spans="1:4" x14ac:dyDescent="0.3">
      <c r="A84">
        <v>83</v>
      </c>
      <c r="B84" t="b">
        <f>ROUND(INDEX(FinancialData[Units Sold],1)*INDEX(FinancialData[Sale Price],1),2)=ROUND(INDEX(FinancialData[Gross Sales],1),2)</f>
        <v>1</v>
      </c>
      <c r="C84" s="12" t="b" cm="1">
        <f t="array" ref="C84">ROUND(INDEX(FinancialData[Gross Sales],A84)-INDEX(FinancialData[Discounts],A84),2)=ROUND(INDEX(FinancialData[ [ Sales] ],A84),2)</f>
        <v>1</v>
      </c>
      <c r="D84" t="b" cm="1">
        <f t="array" ref="D84">ROUND(INDEX(FinancialData[ [ Sales] ],A84)-INDEX(FinancialData[COGS],A84),2)=ROUND(INDEX(FinancialData[Profit],A84),2)</f>
        <v>1</v>
      </c>
    </row>
    <row r="85" spans="1:4" x14ac:dyDescent="0.3">
      <c r="A85">
        <v>84</v>
      </c>
      <c r="B85" t="b">
        <f>ROUND(INDEX(FinancialData[Units Sold],1)*INDEX(FinancialData[Sale Price],1),2)=ROUND(INDEX(FinancialData[Gross Sales],1),2)</f>
        <v>1</v>
      </c>
      <c r="C85" s="12" t="b" cm="1">
        <f t="array" ref="C85">ROUND(INDEX(FinancialData[Gross Sales],A85)-INDEX(FinancialData[Discounts],A85),2)=ROUND(INDEX(FinancialData[ [ Sales] ],A85),2)</f>
        <v>1</v>
      </c>
      <c r="D85" t="b" cm="1">
        <f t="array" ref="D85">ROUND(INDEX(FinancialData[ [ Sales] ],A85)-INDEX(FinancialData[COGS],A85),2)=ROUND(INDEX(FinancialData[Profit],A85),2)</f>
        <v>1</v>
      </c>
    </row>
    <row r="86" spans="1:4" x14ac:dyDescent="0.3">
      <c r="A86">
        <v>85</v>
      </c>
      <c r="B86" t="b">
        <f>ROUND(INDEX(FinancialData[Units Sold],1)*INDEX(FinancialData[Sale Price],1),2)=ROUND(INDEX(FinancialData[Gross Sales],1),2)</f>
        <v>1</v>
      </c>
      <c r="C86" s="12" t="b" cm="1">
        <f t="array" ref="C86">ROUND(INDEX(FinancialData[Gross Sales],A86)-INDEX(FinancialData[Discounts],A86),2)=ROUND(INDEX(FinancialData[ [ Sales] ],A86),2)</f>
        <v>1</v>
      </c>
      <c r="D86" t="b" cm="1">
        <f t="array" ref="D86">ROUND(INDEX(FinancialData[ [ Sales] ],A86)-INDEX(FinancialData[COGS],A86),2)=ROUND(INDEX(FinancialData[Profit],A86),2)</f>
        <v>1</v>
      </c>
    </row>
    <row r="87" spans="1:4" x14ac:dyDescent="0.3">
      <c r="A87">
        <v>86</v>
      </c>
      <c r="B87" t="b">
        <f>ROUND(INDEX(FinancialData[Units Sold],1)*INDEX(FinancialData[Sale Price],1),2)=ROUND(INDEX(FinancialData[Gross Sales],1),2)</f>
        <v>1</v>
      </c>
      <c r="C87" s="12" t="b" cm="1">
        <f t="array" ref="C87">ROUND(INDEX(FinancialData[Gross Sales],A87)-INDEX(FinancialData[Discounts],A87),2)=ROUND(INDEX(FinancialData[ [ Sales] ],A87),2)</f>
        <v>1</v>
      </c>
      <c r="D87" t="b" cm="1">
        <f t="array" ref="D87">ROUND(INDEX(FinancialData[ [ Sales] ],A87)-INDEX(FinancialData[COGS],A87),2)=ROUND(INDEX(FinancialData[Profit],A87),2)</f>
        <v>1</v>
      </c>
    </row>
    <row r="88" spans="1:4" x14ac:dyDescent="0.3">
      <c r="A88">
        <v>87</v>
      </c>
      <c r="B88" t="b">
        <f>ROUND(INDEX(FinancialData[Units Sold],1)*INDEX(FinancialData[Sale Price],1),2)=ROUND(INDEX(FinancialData[Gross Sales],1),2)</f>
        <v>1</v>
      </c>
      <c r="C88" s="12" t="b" cm="1">
        <f t="array" ref="C88">ROUND(INDEX(FinancialData[Gross Sales],A88)-INDEX(FinancialData[Discounts],A88),2)=ROUND(INDEX(FinancialData[ [ Sales] ],A88),2)</f>
        <v>1</v>
      </c>
      <c r="D88" t="b" cm="1">
        <f t="array" ref="D88">ROUND(INDEX(FinancialData[ [ Sales] ],A88)-INDEX(FinancialData[COGS],A88),2)=ROUND(INDEX(FinancialData[Profit],A88),2)</f>
        <v>1</v>
      </c>
    </row>
    <row r="89" spans="1:4" x14ac:dyDescent="0.3">
      <c r="A89">
        <v>88</v>
      </c>
      <c r="B89" t="b">
        <f>ROUND(INDEX(FinancialData[Units Sold],1)*INDEX(FinancialData[Sale Price],1),2)=ROUND(INDEX(FinancialData[Gross Sales],1),2)</f>
        <v>1</v>
      </c>
      <c r="C89" s="12" t="b" cm="1">
        <f t="array" ref="C89">ROUND(INDEX(FinancialData[Gross Sales],A89)-INDEX(FinancialData[Discounts],A89),2)=ROUND(INDEX(FinancialData[ [ Sales] ],A89),2)</f>
        <v>1</v>
      </c>
      <c r="D89" t="b" cm="1">
        <f t="array" ref="D89">ROUND(INDEX(FinancialData[ [ Sales] ],A89)-INDEX(FinancialData[COGS],A89),2)=ROUND(INDEX(FinancialData[Profit],A89),2)</f>
        <v>1</v>
      </c>
    </row>
    <row r="90" spans="1:4" x14ac:dyDescent="0.3">
      <c r="A90">
        <v>89</v>
      </c>
      <c r="B90" t="b">
        <f>ROUND(INDEX(FinancialData[Units Sold],1)*INDEX(FinancialData[Sale Price],1),2)=ROUND(INDEX(FinancialData[Gross Sales],1),2)</f>
        <v>1</v>
      </c>
      <c r="C90" s="12" t="b" cm="1">
        <f t="array" ref="C90">ROUND(INDEX(FinancialData[Gross Sales],A90)-INDEX(FinancialData[Discounts],A90),2)=ROUND(INDEX(FinancialData[ [ Sales] ],A90),2)</f>
        <v>1</v>
      </c>
      <c r="D90" t="b" cm="1">
        <f t="array" ref="D90">ROUND(INDEX(FinancialData[ [ Sales] ],A90)-INDEX(FinancialData[COGS],A90),2)=ROUND(INDEX(FinancialData[Profit],A90),2)</f>
        <v>1</v>
      </c>
    </row>
    <row r="91" spans="1:4" x14ac:dyDescent="0.3">
      <c r="A91">
        <v>90</v>
      </c>
      <c r="B91" t="b">
        <f>ROUND(INDEX(FinancialData[Units Sold],1)*INDEX(FinancialData[Sale Price],1),2)=ROUND(INDEX(FinancialData[Gross Sales],1),2)</f>
        <v>1</v>
      </c>
      <c r="C91" s="12" t="b" cm="1">
        <f t="array" ref="C91">ROUND(INDEX(FinancialData[Gross Sales],A91)-INDEX(FinancialData[Discounts],A91),2)=ROUND(INDEX(FinancialData[ [ Sales] ],A91),2)</f>
        <v>1</v>
      </c>
      <c r="D91" t="b" cm="1">
        <f t="array" ref="D91">ROUND(INDEX(FinancialData[ [ Sales] ],A91)-INDEX(FinancialData[COGS],A91),2)=ROUND(INDEX(FinancialData[Profit],A91),2)</f>
        <v>1</v>
      </c>
    </row>
    <row r="92" spans="1:4" x14ac:dyDescent="0.3">
      <c r="A92">
        <v>91</v>
      </c>
      <c r="B92" t="b">
        <f>ROUND(INDEX(FinancialData[Units Sold],1)*INDEX(FinancialData[Sale Price],1),2)=ROUND(INDEX(FinancialData[Gross Sales],1),2)</f>
        <v>1</v>
      </c>
      <c r="C92" s="12" t="b" cm="1">
        <f t="array" ref="C92">ROUND(INDEX(FinancialData[Gross Sales],A92)-INDEX(FinancialData[Discounts],A92),2)=ROUND(INDEX(FinancialData[ [ Sales] ],A92),2)</f>
        <v>1</v>
      </c>
      <c r="D92" t="b" cm="1">
        <f t="array" ref="D92">ROUND(INDEX(FinancialData[ [ Sales] ],A92)-INDEX(FinancialData[COGS],A92),2)=ROUND(INDEX(FinancialData[Profit],A92),2)</f>
        <v>1</v>
      </c>
    </row>
    <row r="93" spans="1:4" x14ac:dyDescent="0.3">
      <c r="A93">
        <v>92</v>
      </c>
      <c r="B93" t="b">
        <f>ROUND(INDEX(FinancialData[Units Sold],1)*INDEX(FinancialData[Sale Price],1),2)=ROUND(INDEX(FinancialData[Gross Sales],1),2)</f>
        <v>1</v>
      </c>
      <c r="C93" s="12" t="b" cm="1">
        <f t="array" ref="C93">ROUND(INDEX(FinancialData[Gross Sales],A93)-INDEX(FinancialData[Discounts],A93),2)=ROUND(INDEX(FinancialData[ [ Sales] ],A93),2)</f>
        <v>1</v>
      </c>
      <c r="D93" t="b" cm="1">
        <f t="array" ref="D93">ROUND(INDEX(FinancialData[ [ Sales] ],A93)-INDEX(FinancialData[COGS],A93),2)=ROUND(INDEX(FinancialData[Profit],A93),2)</f>
        <v>1</v>
      </c>
    </row>
    <row r="94" spans="1:4" x14ac:dyDescent="0.3">
      <c r="A94">
        <v>93</v>
      </c>
      <c r="B94" t="b">
        <f>ROUND(INDEX(FinancialData[Units Sold],1)*INDEX(FinancialData[Sale Price],1),2)=ROUND(INDEX(FinancialData[Gross Sales],1),2)</f>
        <v>1</v>
      </c>
      <c r="C94" s="12" t="b" cm="1">
        <f t="array" ref="C94">ROUND(INDEX(FinancialData[Gross Sales],A94)-INDEX(FinancialData[Discounts],A94),2)=ROUND(INDEX(FinancialData[ [ Sales] ],A94),2)</f>
        <v>1</v>
      </c>
      <c r="D94" t="b" cm="1">
        <f t="array" ref="D94">ROUND(INDEX(FinancialData[ [ Sales] ],A94)-INDEX(FinancialData[COGS],A94),2)=ROUND(INDEX(FinancialData[Profit],A94),2)</f>
        <v>1</v>
      </c>
    </row>
    <row r="95" spans="1:4" x14ac:dyDescent="0.3">
      <c r="A95">
        <v>94</v>
      </c>
      <c r="B95" t="b">
        <f>ROUND(INDEX(FinancialData[Units Sold],1)*INDEX(FinancialData[Sale Price],1),2)=ROUND(INDEX(FinancialData[Gross Sales],1),2)</f>
        <v>1</v>
      </c>
      <c r="C95" s="12" t="b" cm="1">
        <f t="array" ref="C95">ROUND(INDEX(FinancialData[Gross Sales],A95)-INDEX(FinancialData[Discounts],A95),2)=ROUND(INDEX(FinancialData[ [ Sales] ],A95),2)</f>
        <v>1</v>
      </c>
      <c r="D95" t="b" cm="1">
        <f t="array" ref="D95">ROUND(INDEX(FinancialData[ [ Sales] ],A95)-INDEX(FinancialData[COGS],A95),2)=ROUND(INDEX(FinancialData[Profit],A95),2)</f>
        <v>1</v>
      </c>
    </row>
    <row r="96" spans="1:4" x14ac:dyDescent="0.3">
      <c r="A96">
        <v>95</v>
      </c>
      <c r="B96" t="b">
        <f>ROUND(INDEX(FinancialData[Units Sold],1)*INDEX(FinancialData[Sale Price],1),2)=ROUND(INDEX(FinancialData[Gross Sales],1),2)</f>
        <v>1</v>
      </c>
      <c r="C96" s="12" t="b" cm="1">
        <f t="array" ref="C96">ROUND(INDEX(FinancialData[Gross Sales],A96)-INDEX(FinancialData[Discounts],A96),2)=ROUND(INDEX(FinancialData[ [ Sales] ],A96),2)</f>
        <v>1</v>
      </c>
      <c r="D96" t="b" cm="1">
        <f t="array" ref="D96">ROUND(INDEX(FinancialData[ [ Sales] ],A96)-INDEX(FinancialData[COGS],A96),2)=ROUND(INDEX(FinancialData[Profit],A96),2)</f>
        <v>1</v>
      </c>
    </row>
    <row r="97" spans="1:4" x14ac:dyDescent="0.3">
      <c r="A97">
        <v>96</v>
      </c>
      <c r="B97" t="b">
        <f>ROUND(INDEX(FinancialData[Units Sold],1)*INDEX(FinancialData[Sale Price],1),2)=ROUND(INDEX(FinancialData[Gross Sales],1),2)</f>
        <v>1</v>
      </c>
      <c r="C97" s="12" t="b" cm="1">
        <f t="array" ref="C97">ROUND(INDEX(FinancialData[Gross Sales],A97)-INDEX(FinancialData[Discounts],A97),2)=ROUND(INDEX(FinancialData[ [ Sales] ],A97),2)</f>
        <v>1</v>
      </c>
      <c r="D97" t="b" cm="1">
        <f t="array" ref="D97">ROUND(INDEX(FinancialData[ [ Sales] ],A97)-INDEX(FinancialData[COGS],A97),2)=ROUND(INDEX(FinancialData[Profit],A97),2)</f>
        <v>1</v>
      </c>
    </row>
    <row r="98" spans="1:4" x14ac:dyDescent="0.3">
      <c r="A98">
        <v>97</v>
      </c>
      <c r="B98" t="b">
        <f>ROUND(INDEX(FinancialData[Units Sold],1)*INDEX(FinancialData[Sale Price],1),2)=ROUND(INDEX(FinancialData[Gross Sales],1),2)</f>
        <v>1</v>
      </c>
      <c r="C98" s="12" t="b" cm="1">
        <f t="array" ref="C98">ROUND(INDEX(FinancialData[Gross Sales],A98)-INDEX(FinancialData[Discounts],A98),2)=ROUND(INDEX(FinancialData[ [ Sales] ],A98),2)</f>
        <v>1</v>
      </c>
      <c r="D98" t="b" cm="1">
        <f t="array" ref="D98">ROUND(INDEX(FinancialData[ [ Sales] ],A98)-INDEX(FinancialData[COGS],A98),2)=ROUND(INDEX(FinancialData[Profit],A98),2)</f>
        <v>1</v>
      </c>
    </row>
    <row r="99" spans="1:4" x14ac:dyDescent="0.3">
      <c r="A99">
        <v>98</v>
      </c>
      <c r="B99" t="b">
        <f>ROUND(INDEX(FinancialData[Units Sold],1)*INDEX(FinancialData[Sale Price],1),2)=ROUND(INDEX(FinancialData[Gross Sales],1),2)</f>
        <v>1</v>
      </c>
      <c r="C99" s="12" t="b" cm="1">
        <f t="array" ref="C99">ROUND(INDEX(FinancialData[Gross Sales],A99)-INDEX(FinancialData[Discounts],A99),2)=ROUND(INDEX(FinancialData[ [ Sales] ],A99),2)</f>
        <v>1</v>
      </c>
      <c r="D99" t="b" cm="1">
        <f t="array" ref="D99">ROUND(INDEX(FinancialData[ [ Sales] ],A99)-INDEX(FinancialData[COGS],A99),2)=ROUND(INDEX(FinancialData[Profit],A99),2)</f>
        <v>1</v>
      </c>
    </row>
    <row r="100" spans="1:4" x14ac:dyDescent="0.3">
      <c r="A100">
        <v>99</v>
      </c>
      <c r="B100" t="b">
        <f>ROUND(INDEX(FinancialData[Units Sold],1)*INDEX(FinancialData[Sale Price],1),2)=ROUND(INDEX(FinancialData[Gross Sales],1),2)</f>
        <v>1</v>
      </c>
      <c r="C100" s="12" t="b" cm="1">
        <f t="array" ref="C100">ROUND(INDEX(FinancialData[Gross Sales],A100)-INDEX(FinancialData[Discounts],A100),2)=ROUND(INDEX(FinancialData[ [ Sales] ],A100),2)</f>
        <v>1</v>
      </c>
      <c r="D100" t="b" cm="1">
        <f t="array" ref="D100">ROUND(INDEX(FinancialData[ [ Sales] ],A100)-INDEX(FinancialData[COGS],A100),2)=ROUND(INDEX(FinancialData[Profit],A100),2)</f>
        <v>1</v>
      </c>
    </row>
    <row r="101" spans="1:4" x14ac:dyDescent="0.3">
      <c r="A101">
        <v>100</v>
      </c>
      <c r="B101" t="b">
        <f>ROUND(INDEX(FinancialData[Units Sold],1)*INDEX(FinancialData[Sale Price],1),2)=ROUND(INDEX(FinancialData[Gross Sales],1),2)</f>
        <v>1</v>
      </c>
      <c r="C101" s="12" t="b" cm="1">
        <f t="array" ref="C101">ROUND(INDEX(FinancialData[Gross Sales],A101)-INDEX(FinancialData[Discounts],A101),2)=ROUND(INDEX(FinancialData[ [ Sales] ],A101),2)</f>
        <v>1</v>
      </c>
      <c r="D101" t="b" cm="1">
        <f t="array" ref="D101">ROUND(INDEX(FinancialData[ [ Sales] ],A101)-INDEX(FinancialData[COGS],A101),2)=ROUND(INDEX(FinancialData[Profit],A101),2)</f>
        <v>1</v>
      </c>
    </row>
    <row r="102" spans="1:4" x14ac:dyDescent="0.3">
      <c r="A102">
        <v>101</v>
      </c>
      <c r="B102" t="b">
        <f>ROUND(INDEX(FinancialData[Units Sold],1)*INDEX(FinancialData[Sale Price],1),2)=ROUND(INDEX(FinancialData[Gross Sales],1),2)</f>
        <v>1</v>
      </c>
      <c r="C102" s="12" t="b" cm="1">
        <f t="array" ref="C102">ROUND(INDEX(FinancialData[Gross Sales],A102)-INDEX(FinancialData[Discounts],A102),2)=ROUND(INDEX(FinancialData[ [ Sales] ],A102),2)</f>
        <v>1</v>
      </c>
      <c r="D102" t="b" cm="1">
        <f t="array" ref="D102">ROUND(INDEX(FinancialData[ [ Sales] ],A102)-INDEX(FinancialData[COGS],A102),2)=ROUND(INDEX(FinancialData[Profit],A102),2)</f>
        <v>1</v>
      </c>
    </row>
    <row r="103" spans="1:4" x14ac:dyDescent="0.3">
      <c r="A103">
        <v>102</v>
      </c>
      <c r="B103" t="b">
        <f>ROUND(INDEX(FinancialData[Units Sold],1)*INDEX(FinancialData[Sale Price],1),2)=ROUND(INDEX(FinancialData[Gross Sales],1),2)</f>
        <v>1</v>
      </c>
      <c r="C103" s="12" t="b" cm="1">
        <f t="array" ref="C103">ROUND(INDEX(FinancialData[Gross Sales],A103)-INDEX(FinancialData[Discounts],A103),2)=ROUND(INDEX(FinancialData[ [ Sales] ],A103),2)</f>
        <v>1</v>
      </c>
      <c r="D103" t="b" cm="1">
        <f t="array" ref="D103">ROUND(INDEX(FinancialData[ [ Sales] ],A103)-INDEX(FinancialData[COGS],A103),2)=ROUND(INDEX(FinancialData[Profit],A103),2)</f>
        <v>1</v>
      </c>
    </row>
    <row r="104" spans="1:4" x14ac:dyDescent="0.3">
      <c r="A104">
        <v>103</v>
      </c>
      <c r="B104" t="b">
        <f>ROUND(INDEX(FinancialData[Units Sold],1)*INDEX(FinancialData[Sale Price],1),2)=ROUND(INDEX(FinancialData[Gross Sales],1),2)</f>
        <v>1</v>
      </c>
      <c r="C104" s="12" t="b" cm="1">
        <f t="array" ref="C104">ROUND(INDEX(FinancialData[Gross Sales],A104)-INDEX(FinancialData[Discounts],A104),2)=ROUND(INDEX(FinancialData[ [ Sales] ],A104),2)</f>
        <v>1</v>
      </c>
      <c r="D104" t="b" cm="1">
        <f t="array" ref="D104">ROUND(INDEX(FinancialData[ [ Sales] ],A104)-INDEX(FinancialData[COGS],A104),2)=ROUND(INDEX(FinancialData[Profit],A104),2)</f>
        <v>1</v>
      </c>
    </row>
    <row r="105" spans="1:4" x14ac:dyDescent="0.3">
      <c r="A105">
        <v>104</v>
      </c>
      <c r="B105" t="b">
        <f>ROUND(INDEX(FinancialData[Units Sold],1)*INDEX(FinancialData[Sale Price],1),2)=ROUND(INDEX(FinancialData[Gross Sales],1),2)</f>
        <v>1</v>
      </c>
      <c r="C105" s="12" t="b" cm="1">
        <f t="array" ref="C105">ROUND(INDEX(FinancialData[Gross Sales],A105)-INDEX(FinancialData[Discounts],A105),2)=ROUND(INDEX(FinancialData[ [ Sales] ],A105),2)</f>
        <v>1</v>
      </c>
      <c r="D105" t="b" cm="1">
        <f t="array" ref="D105">ROUND(INDEX(FinancialData[ [ Sales] ],A105)-INDEX(FinancialData[COGS],A105),2)=ROUND(INDEX(FinancialData[Profit],A105),2)</f>
        <v>1</v>
      </c>
    </row>
    <row r="106" spans="1:4" x14ac:dyDescent="0.3">
      <c r="A106">
        <v>105</v>
      </c>
      <c r="B106" t="b">
        <f>ROUND(INDEX(FinancialData[Units Sold],1)*INDEX(FinancialData[Sale Price],1),2)=ROUND(INDEX(FinancialData[Gross Sales],1),2)</f>
        <v>1</v>
      </c>
      <c r="C106" s="12" t="b" cm="1">
        <f t="array" ref="C106">ROUND(INDEX(FinancialData[Gross Sales],A106)-INDEX(FinancialData[Discounts],A106),2)=ROUND(INDEX(FinancialData[ [ Sales] ],A106),2)</f>
        <v>1</v>
      </c>
      <c r="D106" t="b" cm="1">
        <f t="array" ref="D106">ROUND(INDEX(FinancialData[ [ Sales] ],A106)-INDEX(FinancialData[COGS],A106),2)=ROUND(INDEX(FinancialData[Profit],A106),2)</f>
        <v>1</v>
      </c>
    </row>
    <row r="107" spans="1:4" x14ac:dyDescent="0.3">
      <c r="A107">
        <v>106</v>
      </c>
      <c r="B107" t="b">
        <f>ROUND(INDEX(FinancialData[Units Sold],1)*INDEX(FinancialData[Sale Price],1),2)=ROUND(INDEX(FinancialData[Gross Sales],1),2)</f>
        <v>1</v>
      </c>
      <c r="C107" s="12" t="b" cm="1">
        <f t="array" ref="C107">ROUND(INDEX(FinancialData[Gross Sales],A107)-INDEX(FinancialData[Discounts],A107),2)=ROUND(INDEX(FinancialData[ [ Sales] ],A107),2)</f>
        <v>1</v>
      </c>
      <c r="D107" t="b" cm="1">
        <f t="array" ref="D107">ROUND(INDEX(FinancialData[ [ Sales] ],A107)-INDEX(FinancialData[COGS],A107),2)=ROUND(INDEX(FinancialData[Profit],A107),2)</f>
        <v>1</v>
      </c>
    </row>
    <row r="108" spans="1:4" x14ac:dyDescent="0.3">
      <c r="A108">
        <v>107</v>
      </c>
      <c r="B108" t="b">
        <f>ROUND(INDEX(FinancialData[Units Sold],1)*INDEX(FinancialData[Sale Price],1),2)=ROUND(INDEX(FinancialData[Gross Sales],1),2)</f>
        <v>1</v>
      </c>
      <c r="C108" s="12" t="b" cm="1">
        <f t="array" ref="C108">ROUND(INDEX(FinancialData[Gross Sales],A108)-INDEX(FinancialData[Discounts],A108),2)=ROUND(INDEX(FinancialData[ [ Sales] ],A108),2)</f>
        <v>1</v>
      </c>
      <c r="D108" t="b" cm="1">
        <f t="array" ref="D108">ROUND(INDEX(FinancialData[ [ Sales] ],A108)-INDEX(FinancialData[COGS],A108),2)=ROUND(INDEX(FinancialData[Profit],A108),2)</f>
        <v>1</v>
      </c>
    </row>
    <row r="109" spans="1:4" x14ac:dyDescent="0.3">
      <c r="A109">
        <v>108</v>
      </c>
      <c r="B109" t="b">
        <f>ROUND(INDEX(FinancialData[Units Sold],1)*INDEX(FinancialData[Sale Price],1),2)=ROUND(INDEX(FinancialData[Gross Sales],1),2)</f>
        <v>1</v>
      </c>
      <c r="C109" s="12" t="b" cm="1">
        <f t="array" ref="C109">ROUND(INDEX(FinancialData[Gross Sales],A109)-INDEX(FinancialData[Discounts],A109),2)=ROUND(INDEX(FinancialData[ [ Sales] ],A109),2)</f>
        <v>1</v>
      </c>
      <c r="D109" t="b" cm="1">
        <f t="array" ref="D109">ROUND(INDEX(FinancialData[ [ Sales] ],A109)-INDEX(FinancialData[COGS],A109),2)=ROUND(INDEX(FinancialData[Profit],A109),2)</f>
        <v>1</v>
      </c>
    </row>
    <row r="110" spans="1:4" x14ac:dyDescent="0.3">
      <c r="A110">
        <v>109</v>
      </c>
      <c r="B110" t="b">
        <f>ROUND(INDEX(FinancialData[Units Sold],1)*INDEX(FinancialData[Sale Price],1),2)=ROUND(INDEX(FinancialData[Gross Sales],1),2)</f>
        <v>1</v>
      </c>
      <c r="C110" s="12" t="b" cm="1">
        <f t="array" ref="C110">ROUND(INDEX(FinancialData[Gross Sales],A110)-INDEX(FinancialData[Discounts],A110),2)=ROUND(INDEX(FinancialData[ [ Sales] ],A110),2)</f>
        <v>1</v>
      </c>
      <c r="D110" t="b" cm="1">
        <f t="array" ref="D110">ROUND(INDEX(FinancialData[ [ Sales] ],A110)-INDEX(FinancialData[COGS],A110),2)=ROUND(INDEX(FinancialData[Profit],A110),2)</f>
        <v>1</v>
      </c>
    </row>
    <row r="111" spans="1:4" x14ac:dyDescent="0.3">
      <c r="A111">
        <v>110</v>
      </c>
      <c r="B111" t="b">
        <f>ROUND(INDEX(FinancialData[Units Sold],1)*INDEX(FinancialData[Sale Price],1),2)=ROUND(INDEX(FinancialData[Gross Sales],1),2)</f>
        <v>1</v>
      </c>
      <c r="C111" s="12" t="b" cm="1">
        <f t="array" ref="C111">ROUND(INDEX(FinancialData[Gross Sales],A111)-INDEX(FinancialData[Discounts],A111),2)=ROUND(INDEX(FinancialData[ [ Sales] ],A111),2)</f>
        <v>1</v>
      </c>
      <c r="D111" t="b" cm="1">
        <f t="array" ref="D111">ROUND(INDEX(FinancialData[ [ Sales] ],A111)-INDEX(FinancialData[COGS],A111),2)=ROUND(INDEX(FinancialData[Profit],A111),2)</f>
        <v>1</v>
      </c>
    </row>
    <row r="112" spans="1:4" x14ac:dyDescent="0.3">
      <c r="A112">
        <v>111</v>
      </c>
      <c r="B112" t="b">
        <f>ROUND(INDEX(FinancialData[Units Sold],1)*INDEX(FinancialData[Sale Price],1),2)=ROUND(INDEX(FinancialData[Gross Sales],1),2)</f>
        <v>1</v>
      </c>
      <c r="C112" s="12" t="b" cm="1">
        <f t="array" ref="C112">ROUND(INDEX(FinancialData[Gross Sales],A112)-INDEX(FinancialData[Discounts],A112),2)=ROUND(INDEX(FinancialData[ [ Sales] ],A112),2)</f>
        <v>1</v>
      </c>
      <c r="D112" t="b" cm="1">
        <f t="array" ref="D112">ROUND(INDEX(FinancialData[ [ Sales] ],A112)-INDEX(FinancialData[COGS],A112),2)=ROUND(INDEX(FinancialData[Profit],A112),2)</f>
        <v>1</v>
      </c>
    </row>
    <row r="113" spans="1:4" x14ac:dyDescent="0.3">
      <c r="A113">
        <v>112</v>
      </c>
      <c r="B113" t="b">
        <f>ROUND(INDEX(FinancialData[Units Sold],1)*INDEX(FinancialData[Sale Price],1),2)=ROUND(INDEX(FinancialData[Gross Sales],1),2)</f>
        <v>1</v>
      </c>
      <c r="C113" s="12" t="b" cm="1">
        <f t="array" ref="C113">ROUND(INDEX(FinancialData[Gross Sales],A113)-INDEX(FinancialData[Discounts],A113),2)=ROUND(INDEX(FinancialData[ [ Sales] ],A113),2)</f>
        <v>1</v>
      </c>
      <c r="D113" t="b" cm="1">
        <f t="array" ref="D113">ROUND(INDEX(FinancialData[ [ Sales] ],A113)-INDEX(FinancialData[COGS],A113),2)=ROUND(INDEX(FinancialData[Profit],A113),2)</f>
        <v>1</v>
      </c>
    </row>
    <row r="114" spans="1:4" x14ac:dyDescent="0.3">
      <c r="A114">
        <v>113</v>
      </c>
      <c r="B114" t="b">
        <f>ROUND(INDEX(FinancialData[Units Sold],1)*INDEX(FinancialData[Sale Price],1),2)=ROUND(INDEX(FinancialData[Gross Sales],1),2)</f>
        <v>1</v>
      </c>
      <c r="C114" s="12" t="b" cm="1">
        <f t="array" ref="C114">ROUND(INDEX(FinancialData[Gross Sales],A114)-INDEX(FinancialData[Discounts],A114),2)=ROUND(INDEX(FinancialData[ [ Sales] ],A114),2)</f>
        <v>1</v>
      </c>
      <c r="D114" t="b" cm="1">
        <f t="array" ref="D114">ROUND(INDEX(FinancialData[ [ Sales] ],A114)-INDEX(FinancialData[COGS],A114),2)=ROUND(INDEX(FinancialData[Profit],A114),2)</f>
        <v>1</v>
      </c>
    </row>
    <row r="115" spans="1:4" x14ac:dyDescent="0.3">
      <c r="A115">
        <v>114</v>
      </c>
      <c r="B115" t="b">
        <f>ROUND(INDEX(FinancialData[Units Sold],1)*INDEX(FinancialData[Sale Price],1),2)=ROUND(INDEX(FinancialData[Gross Sales],1),2)</f>
        <v>1</v>
      </c>
      <c r="C115" s="12" t="b" cm="1">
        <f t="array" ref="C115">ROUND(INDEX(FinancialData[Gross Sales],A115)-INDEX(FinancialData[Discounts],A115),2)=ROUND(INDEX(FinancialData[ [ Sales] ],A115),2)</f>
        <v>1</v>
      </c>
      <c r="D115" t="b" cm="1">
        <f t="array" ref="D115">ROUND(INDEX(FinancialData[ [ Sales] ],A115)-INDEX(FinancialData[COGS],A115),2)=ROUND(INDEX(FinancialData[Profit],A115),2)</f>
        <v>1</v>
      </c>
    </row>
    <row r="116" spans="1:4" x14ac:dyDescent="0.3">
      <c r="A116">
        <v>115</v>
      </c>
      <c r="B116" t="b">
        <f>ROUND(INDEX(FinancialData[Units Sold],1)*INDEX(FinancialData[Sale Price],1),2)=ROUND(INDEX(FinancialData[Gross Sales],1),2)</f>
        <v>1</v>
      </c>
      <c r="C116" s="12" t="b" cm="1">
        <f t="array" ref="C116">ROUND(INDEX(FinancialData[Gross Sales],A116)-INDEX(FinancialData[Discounts],A116),2)=ROUND(INDEX(FinancialData[ [ Sales] ],A116),2)</f>
        <v>1</v>
      </c>
      <c r="D116" t="b" cm="1">
        <f t="array" ref="D116">ROUND(INDEX(FinancialData[ [ Sales] ],A116)-INDEX(FinancialData[COGS],A116),2)=ROUND(INDEX(FinancialData[Profit],A116),2)</f>
        <v>1</v>
      </c>
    </row>
    <row r="117" spans="1:4" x14ac:dyDescent="0.3">
      <c r="A117">
        <v>116</v>
      </c>
      <c r="B117" t="b">
        <f>ROUND(INDEX(FinancialData[Units Sold],1)*INDEX(FinancialData[Sale Price],1),2)=ROUND(INDEX(FinancialData[Gross Sales],1),2)</f>
        <v>1</v>
      </c>
      <c r="C117" s="12" t="b" cm="1">
        <f t="array" ref="C117">ROUND(INDEX(FinancialData[Gross Sales],A117)-INDEX(FinancialData[Discounts],A117),2)=ROUND(INDEX(FinancialData[ [ Sales] ],A117),2)</f>
        <v>1</v>
      </c>
      <c r="D117" t="b" cm="1">
        <f t="array" ref="D117">ROUND(INDEX(FinancialData[ [ Sales] ],A117)-INDEX(FinancialData[COGS],A117),2)=ROUND(INDEX(FinancialData[Profit],A117),2)</f>
        <v>1</v>
      </c>
    </row>
    <row r="118" spans="1:4" x14ac:dyDescent="0.3">
      <c r="A118">
        <v>117</v>
      </c>
      <c r="B118" t="b">
        <f>ROUND(INDEX(FinancialData[Units Sold],1)*INDEX(FinancialData[Sale Price],1),2)=ROUND(INDEX(FinancialData[Gross Sales],1),2)</f>
        <v>1</v>
      </c>
      <c r="C118" s="12" t="b" cm="1">
        <f t="array" ref="C118">ROUND(INDEX(FinancialData[Gross Sales],A118)-INDEX(FinancialData[Discounts],A118),2)=ROUND(INDEX(FinancialData[ [ Sales] ],A118),2)</f>
        <v>1</v>
      </c>
      <c r="D118" t="b" cm="1">
        <f t="array" ref="D118">ROUND(INDEX(FinancialData[ [ Sales] ],A118)-INDEX(FinancialData[COGS],A118),2)=ROUND(INDEX(FinancialData[Profit],A118),2)</f>
        <v>1</v>
      </c>
    </row>
    <row r="119" spans="1:4" x14ac:dyDescent="0.3">
      <c r="A119">
        <v>118</v>
      </c>
      <c r="B119" t="b">
        <f>ROUND(INDEX(FinancialData[Units Sold],1)*INDEX(FinancialData[Sale Price],1),2)=ROUND(INDEX(FinancialData[Gross Sales],1),2)</f>
        <v>1</v>
      </c>
      <c r="C119" s="12" t="b" cm="1">
        <f t="array" ref="C119">ROUND(INDEX(FinancialData[Gross Sales],A119)-INDEX(FinancialData[Discounts],A119),2)=ROUND(INDEX(FinancialData[ [ Sales] ],A119),2)</f>
        <v>1</v>
      </c>
      <c r="D119" t="b" cm="1">
        <f t="array" ref="D119">ROUND(INDEX(FinancialData[ [ Sales] ],A119)-INDEX(FinancialData[COGS],A119),2)=ROUND(INDEX(FinancialData[Profit],A119),2)</f>
        <v>1</v>
      </c>
    </row>
    <row r="120" spans="1:4" x14ac:dyDescent="0.3">
      <c r="A120">
        <v>119</v>
      </c>
      <c r="B120" t="b">
        <f>ROUND(INDEX(FinancialData[Units Sold],1)*INDEX(FinancialData[Sale Price],1),2)=ROUND(INDEX(FinancialData[Gross Sales],1),2)</f>
        <v>1</v>
      </c>
      <c r="C120" s="12" t="b" cm="1">
        <f t="array" ref="C120">ROUND(INDEX(FinancialData[Gross Sales],A120)-INDEX(FinancialData[Discounts],A120),2)=ROUND(INDEX(FinancialData[ [ Sales] ],A120),2)</f>
        <v>1</v>
      </c>
      <c r="D120" t="b" cm="1">
        <f t="array" ref="D120">ROUND(INDEX(FinancialData[ [ Sales] ],A120)-INDEX(FinancialData[COGS],A120),2)=ROUND(INDEX(FinancialData[Profit],A120),2)</f>
        <v>1</v>
      </c>
    </row>
    <row r="121" spans="1:4" x14ac:dyDescent="0.3">
      <c r="A121">
        <v>120</v>
      </c>
      <c r="B121" t="b">
        <f>ROUND(INDEX(FinancialData[Units Sold],1)*INDEX(FinancialData[Sale Price],1),2)=ROUND(INDEX(FinancialData[Gross Sales],1),2)</f>
        <v>1</v>
      </c>
      <c r="C121" s="12" t="b" cm="1">
        <f t="array" ref="C121">ROUND(INDEX(FinancialData[Gross Sales],A121)-INDEX(FinancialData[Discounts],A121),2)=ROUND(INDEX(FinancialData[ [ Sales] ],A121),2)</f>
        <v>1</v>
      </c>
      <c r="D121" t="b" cm="1">
        <f t="array" ref="D121">ROUND(INDEX(FinancialData[ [ Sales] ],A121)-INDEX(FinancialData[COGS],A121),2)=ROUND(INDEX(FinancialData[Profit],A121),2)</f>
        <v>1</v>
      </c>
    </row>
    <row r="122" spans="1:4" x14ac:dyDescent="0.3">
      <c r="A122">
        <v>121</v>
      </c>
      <c r="B122" t="b">
        <f>ROUND(INDEX(FinancialData[Units Sold],1)*INDEX(FinancialData[Sale Price],1),2)=ROUND(INDEX(FinancialData[Gross Sales],1),2)</f>
        <v>1</v>
      </c>
      <c r="C122" s="12" t="b" cm="1">
        <f t="array" ref="C122">ROUND(INDEX(FinancialData[Gross Sales],A122)-INDEX(FinancialData[Discounts],A122),2)=ROUND(INDEX(FinancialData[ [ Sales] ],A122),2)</f>
        <v>1</v>
      </c>
      <c r="D122" t="b" cm="1">
        <f t="array" ref="D122">ROUND(INDEX(FinancialData[ [ Sales] ],A122)-INDEX(FinancialData[COGS],A122),2)=ROUND(INDEX(FinancialData[Profit],A122),2)</f>
        <v>1</v>
      </c>
    </row>
    <row r="123" spans="1:4" x14ac:dyDescent="0.3">
      <c r="A123">
        <v>122</v>
      </c>
      <c r="B123" t="b">
        <f>ROUND(INDEX(FinancialData[Units Sold],1)*INDEX(FinancialData[Sale Price],1),2)=ROUND(INDEX(FinancialData[Gross Sales],1),2)</f>
        <v>1</v>
      </c>
      <c r="C123" s="12" t="b" cm="1">
        <f t="array" ref="C123">ROUND(INDEX(FinancialData[Gross Sales],A123)-INDEX(FinancialData[Discounts],A123),2)=ROUND(INDEX(FinancialData[ [ Sales] ],A123),2)</f>
        <v>1</v>
      </c>
      <c r="D123" t="b" cm="1">
        <f t="array" ref="D123">ROUND(INDEX(FinancialData[ [ Sales] ],A123)-INDEX(FinancialData[COGS],A123),2)=ROUND(INDEX(FinancialData[Profit],A123),2)</f>
        <v>1</v>
      </c>
    </row>
    <row r="124" spans="1:4" x14ac:dyDescent="0.3">
      <c r="A124">
        <v>123</v>
      </c>
      <c r="B124" t="b">
        <f>ROUND(INDEX(FinancialData[Units Sold],1)*INDEX(FinancialData[Sale Price],1),2)=ROUND(INDEX(FinancialData[Gross Sales],1),2)</f>
        <v>1</v>
      </c>
      <c r="C124" s="12" t="b" cm="1">
        <f t="array" ref="C124">ROUND(INDEX(FinancialData[Gross Sales],A124)-INDEX(FinancialData[Discounts],A124),2)=ROUND(INDEX(FinancialData[ [ Sales] ],A124),2)</f>
        <v>1</v>
      </c>
      <c r="D124" t="b" cm="1">
        <f t="array" ref="D124">ROUND(INDEX(FinancialData[ [ Sales] ],A124)-INDEX(FinancialData[COGS],A124),2)=ROUND(INDEX(FinancialData[Profit],A124),2)</f>
        <v>1</v>
      </c>
    </row>
    <row r="125" spans="1:4" x14ac:dyDescent="0.3">
      <c r="A125">
        <v>124</v>
      </c>
      <c r="B125" t="b">
        <f>ROUND(INDEX(FinancialData[Units Sold],1)*INDEX(FinancialData[Sale Price],1),2)=ROUND(INDEX(FinancialData[Gross Sales],1),2)</f>
        <v>1</v>
      </c>
      <c r="C125" s="12" t="b" cm="1">
        <f t="array" ref="C125">ROUND(INDEX(FinancialData[Gross Sales],A125)-INDEX(FinancialData[Discounts],A125),2)=ROUND(INDEX(FinancialData[ [ Sales] ],A125),2)</f>
        <v>1</v>
      </c>
      <c r="D125" t="b" cm="1">
        <f t="array" ref="D125">ROUND(INDEX(FinancialData[ [ Sales] ],A125)-INDEX(FinancialData[COGS],A125),2)=ROUND(INDEX(FinancialData[Profit],A125),2)</f>
        <v>1</v>
      </c>
    </row>
    <row r="126" spans="1:4" x14ac:dyDescent="0.3">
      <c r="A126">
        <v>125</v>
      </c>
      <c r="B126" t="b">
        <f>ROUND(INDEX(FinancialData[Units Sold],1)*INDEX(FinancialData[Sale Price],1),2)=ROUND(INDEX(FinancialData[Gross Sales],1),2)</f>
        <v>1</v>
      </c>
      <c r="C126" s="12" t="b" cm="1">
        <f t="array" ref="C126">ROUND(INDEX(FinancialData[Gross Sales],A126)-INDEX(FinancialData[Discounts],A126),2)=ROUND(INDEX(FinancialData[ [ Sales] ],A126),2)</f>
        <v>1</v>
      </c>
      <c r="D126" t="b" cm="1">
        <f t="array" ref="D126">ROUND(INDEX(FinancialData[ [ Sales] ],A126)-INDEX(FinancialData[COGS],A126),2)=ROUND(INDEX(FinancialData[Profit],A126),2)</f>
        <v>1</v>
      </c>
    </row>
    <row r="127" spans="1:4" x14ac:dyDescent="0.3">
      <c r="A127">
        <v>126</v>
      </c>
      <c r="B127" t="b">
        <f>ROUND(INDEX(FinancialData[Units Sold],1)*INDEX(FinancialData[Sale Price],1),2)=ROUND(INDEX(FinancialData[Gross Sales],1),2)</f>
        <v>1</v>
      </c>
      <c r="C127" s="12" t="b" cm="1">
        <f t="array" ref="C127">ROUND(INDEX(FinancialData[Gross Sales],A127)-INDEX(FinancialData[Discounts],A127),2)=ROUND(INDEX(FinancialData[ [ Sales] ],A127),2)</f>
        <v>1</v>
      </c>
      <c r="D127" t="b" cm="1">
        <f t="array" ref="D127">ROUND(INDEX(FinancialData[ [ Sales] ],A127)-INDEX(FinancialData[COGS],A127),2)=ROUND(INDEX(FinancialData[Profit],A127),2)</f>
        <v>1</v>
      </c>
    </row>
    <row r="128" spans="1:4" x14ac:dyDescent="0.3">
      <c r="A128">
        <v>127</v>
      </c>
      <c r="B128" t="b">
        <f>ROUND(INDEX(FinancialData[Units Sold],1)*INDEX(FinancialData[Sale Price],1),2)=ROUND(INDEX(FinancialData[Gross Sales],1),2)</f>
        <v>1</v>
      </c>
      <c r="C128" s="12" t="b" cm="1">
        <f t="array" ref="C128">ROUND(INDEX(FinancialData[Gross Sales],A128)-INDEX(FinancialData[Discounts],A128),2)=ROUND(INDEX(FinancialData[ [ Sales] ],A128),2)</f>
        <v>1</v>
      </c>
      <c r="D128" t="b" cm="1">
        <f t="array" ref="D128">ROUND(INDEX(FinancialData[ [ Sales] ],A128)-INDEX(FinancialData[COGS],A128),2)=ROUND(INDEX(FinancialData[Profit],A128),2)</f>
        <v>1</v>
      </c>
    </row>
    <row r="129" spans="1:4" x14ac:dyDescent="0.3">
      <c r="A129">
        <v>128</v>
      </c>
      <c r="B129" t="b">
        <f>ROUND(INDEX(FinancialData[Units Sold],1)*INDEX(FinancialData[Sale Price],1),2)=ROUND(INDEX(FinancialData[Gross Sales],1),2)</f>
        <v>1</v>
      </c>
      <c r="C129" s="12" t="b" cm="1">
        <f t="array" ref="C129">ROUND(INDEX(FinancialData[Gross Sales],A129)-INDEX(FinancialData[Discounts],A129),2)=ROUND(INDEX(FinancialData[ [ Sales] ],A129),2)</f>
        <v>1</v>
      </c>
      <c r="D129" t="b" cm="1">
        <f t="array" ref="D129">ROUND(INDEX(FinancialData[ [ Sales] ],A129)-INDEX(FinancialData[COGS],A129),2)=ROUND(INDEX(FinancialData[Profit],A129),2)</f>
        <v>1</v>
      </c>
    </row>
    <row r="130" spans="1:4" x14ac:dyDescent="0.3">
      <c r="A130">
        <v>129</v>
      </c>
      <c r="B130" t="b">
        <f>ROUND(INDEX(FinancialData[Units Sold],1)*INDEX(FinancialData[Sale Price],1),2)=ROUND(INDEX(FinancialData[Gross Sales],1),2)</f>
        <v>1</v>
      </c>
      <c r="C130" s="12" t="b" cm="1">
        <f t="array" ref="C130">ROUND(INDEX(FinancialData[Gross Sales],A130)-INDEX(FinancialData[Discounts],A130),2)=ROUND(INDEX(FinancialData[ [ Sales] ],A130),2)</f>
        <v>1</v>
      </c>
      <c r="D130" t="b" cm="1">
        <f t="array" ref="D130">ROUND(INDEX(FinancialData[ [ Sales] ],A130)-INDEX(FinancialData[COGS],A130),2)=ROUND(INDEX(FinancialData[Profit],A130),2)</f>
        <v>1</v>
      </c>
    </row>
    <row r="131" spans="1:4" x14ac:dyDescent="0.3">
      <c r="A131">
        <v>130</v>
      </c>
      <c r="B131" t="b">
        <f>ROUND(INDEX(FinancialData[Units Sold],1)*INDEX(FinancialData[Sale Price],1),2)=ROUND(INDEX(FinancialData[Gross Sales],1),2)</f>
        <v>1</v>
      </c>
      <c r="C131" s="12" t="b" cm="1">
        <f t="array" ref="C131">ROUND(INDEX(FinancialData[Gross Sales],A131)-INDEX(FinancialData[Discounts],A131),2)=ROUND(INDEX(FinancialData[ [ Sales] ],A131),2)</f>
        <v>1</v>
      </c>
      <c r="D131" t="b" cm="1">
        <f t="array" ref="D131">ROUND(INDEX(FinancialData[ [ Sales] ],A131)-INDEX(FinancialData[COGS],A131),2)=ROUND(INDEX(FinancialData[Profit],A131),2)</f>
        <v>1</v>
      </c>
    </row>
    <row r="132" spans="1:4" x14ac:dyDescent="0.3">
      <c r="A132">
        <v>131</v>
      </c>
      <c r="B132" t="b">
        <f>ROUND(INDEX(FinancialData[Units Sold],1)*INDEX(FinancialData[Sale Price],1),2)=ROUND(INDEX(FinancialData[Gross Sales],1),2)</f>
        <v>1</v>
      </c>
      <c r="C132" s="12" t="b" cm="1">
        <f t="array" ref="C132">ROUND(INDEX(FinancialData[Gross Sales],A132)-INDEX(FinancialData[Discounts],A132),2)=ROUND(INDEX(FinancialData[ [ Sales] ],A132),2)</f>
        <v>1</v>
      </c>
      <c r="D132" t="b" cm="1">
        <f t="array" ref="D132">ROUND(INDEX(FinancialData[ [ Sales] ],A132)-INDEX(FinancialData[COGS],A132),2)=ROUND(INDEX(FinancialData[Profit],A132),2)</f>
        <v>1</v>
      </c>
    </row>
    <row r="133" spans="1:4" x14ac:dyDescent="0.3">
      <c r="A133">
        <v>132</v>
      </c>
      <c r="B133" t="b">
        <f>ROUND(INDEX(FinancialData[Units Sold],1)*INDEX(FinancialData[Sale Price],1),2)=ROUND(INDEX(FinancialData[Gross Sales],1),2)</f>
        <v>1</v>
      </c>
      <c r="C133" s="12" t="b" cm="1">
        <f t="array" ref="C133">ROUND(INDEX(FinancialData[Gross Sales],A133)-INDEX(FinancialData[Discounts],A133),2)=ROUND(INDEX(FinancialData[ [ Sales] ],A133),2)</f>
        <v>1</v>
      </c>
      <c r="D133" t="b" cm="1">
        <f t="array" ref="D133">ROUND(INDEX(FinancialData[ [ Sales] ],A133)-INDEX(FinancialData[COGS],A133),2)=ROUND(INDEX(FinancialData[Profit],A133),2)</f>
        <v>1</v>
      </c>
    </row>
    <row r="134" spans="1:4" x14ac:dyDescent="0.3">
      <c r="A134">
        <v>133</v>
      </c>
      <c r="B134" t="b">
        <f>ROUND(INDEX(FinancialData[Units Sold],1)*INDEX(FinancialData[Sale Price],1),2)=ROUND(INDEX(FinancialData[Gross Sales],1),2)</f>
        <v>1</v>
      </c>
      <c r="C134" s="12" t="b" cm="1">
        <f t="array" ref="C134">ROUND(INDEX(FinancialData[Gross Sales],A134)-INDEX(FinancialData[Discounts],A134),2)=ROUND(INDEX(FinancialData[ [ Sales] ],A134),2)</f>
        <v>1</v>
      </c>
      <c r="D134" t="b" cm="1">
        <f t="array" ref="D134">ROUND(INDEX(FinancialData[ [ Sales] ],A134)-INDEX(FinancialData[COGS],A134),2)=ROUND(INDEX(FinancialData[Profit],A134),2)</f>
        <v>1</v>
      </c>
    </row>
    <row r="135" spans="1:4" x14ac:dyDescent="0.3">
      <c r="A135">
        <v>134</v>
      </c>
      <c r="B135" t="b">
        <f>ROUND(INDEX(FinancialData[Units Sold],1)*INDEX(FinancialData[Sale Price],1),2)=ROUND(INDEX(FinancialData[Gross Sales],1),2)</f>
        <v>1</v>
      </c>
      <c r="C135" s="12" t="b" cm="1">
        <f t="array" ref="C135">ROUND(INDEX(FinancialData[Gross Sales],A135)-INDEX(FinancialData[Discounts],A135),2)=ROUND(INDEX(FinancialData[ [ Sales] ],A135),2)</f>
        <v>1</v>
      </c>
      <c r="D135" t="b" cm="1">
        <f t="array" ref="D135">ROUND(INDEX(FinancialData[ [ Sales] ],A135)-INDEX(FinancialData[COGS],A135),2)=ROUND(INDEX(FinancialData[Profit],A135),2)</f>
        <v>1</v>
      </c>
    </row>
    <row r="136" spans="1:4" x14ac:dyDescent="0.3">
      <c r="A136">
        <v>135</v>
      </c>
      <c r="B136" t="b">
        <f>ROUND(INDEX(FinancialData[Units Sold],1)*INDEX(FinancialData[Sale Price],1),2)=ROUND(INDEX(FinancialData[Gross Sales],1),2)</f>
        <v>1</v>
      </c>
      <c r="C136" s="12" t="b" cm="1">
        <f t="array" ref="C136">ROUND(INDEX(FinancialData[Gross Sales],A136)-INDEX(FinancialData[Discounts],A136),2)=ROUND(INDEX(FinancialData[ [ Sales] ],A136),2)</f>
        <v>1</v>
      </c>
      <c r="D136" t="b" cm="1">
        <f t="array" ref="D136">ROUND(INDEX(FinancialData[ [ Sales] ],A136)-INDEX(FinancialData[COGS],A136),2)=ROUND(INDEX(FinancialData[Profit],A136),2)</f>
        <v>1</v>
      </c>
    </row>
    <row r="137" spans="1:4" x14ac:dyDescent="0.3">
      <c r="A137">
        <v>136</v>
      </c>
      <c r="B137" t="b">
        <f>ROUND(INDEX(FinancialData[Units Sold],1)*INDEX(FinancialData[Sale Price],1),2)=ROUND(INDEX(FinancialData[Gross Sales],1),2)</f>
        <v>1</v>
      </c>
      <c r="C137" s="12" t="b" cm="1">
        <f t="array" ref="C137">ROUND(INDEX(FinancialData[Gross Sales],A137)-INDEX(FinancialData[Discounts],A137),2)=ROUND(INDEX(FinancialData[ [ Sales] ],A137),2)</f>
        <v>1</v>
      </c>
      <c r="D137" t="b" cm="1">
        <f t="array" ref="D137">ROUND(INDEX(FinancialData[ [ Sales] ],A137)-INDEX(FinancialData[COGS],A137),2)=ROUND(INDEX(FinancialData[Profit],A137),2)</f>
        <v>1</v>
      </c>
    </row>
    <row r="138" spans="1:4" x14ac:dyDescent="0.3">
      <c r="A138">
        <v>137</v>
      </c>
      <c r="B138" t="b">
        <f>ROUND(INDEX(FinancialData[Units Sold],1)*INDEX(FinancialData[Sale Price],1),2)=ROUND(INDEX(FinancialData[Gross Sales],1),2)</f>
        <v>1</v>
      </c>
      <c r="C138" s="12" t="b" cm="1">
        <f t="array" ref="C138">ROUND(INDEX(FinancialData[Gross Sales],A138)-INDEX(FinancialData[Discounts],A138),2)=ROUND(INDEX(FinancialData[ [ Sales] ],A138),2)</f>
        <v>1</v>
      </c>
      <c r="D138" t="b" cm="1">
        <f t="array" ref="D138">ROUND(INDEX(FinancialData[ [ Sales] ],A138)-INDEX(FinancialData[COGS],A138),2)=ROUND(INDEX(FinancialData[Profit],A138),2)</f>
        <v>1</v>
      </c>
    </row>
    <row r="139" spans="1:4" x14ac:dyDescent="0.3">
      <c r="A139">
        <v>138</v>
      </c>
      <c r="B139" t="b">
        <f>ROUND(INDEX(FinancialData[Units Sold],1)*INDEX(FinancialData[Sale Price],1),2)=ROUND(INDEX(FinancialData[Gross Sales],1),2)</f>
        <v>1</v>
      </c>
      <c r="C139" s="12" t="b" cm="1">
        <f t="array" ref="C139">ROUND(INDEX(FinancialData[Gross Sales],A139)-INDEX(FinancialData[Discounts],A139),2)=ROUND(INDEX(FinancialData[ [ Sales] ],A139),2)</f>
        <v>1</v>
      </c>
      <c r="D139" t="b" cm="1">
        <f t="array" ref="D139">ROUND(INDEX(FinancialData[ [ Sales] ],A139)-INDEX(FinancialData[COGS],A139),2)=ROUND(INDEX(FinancialData[Profit],A139),2)</f>
        <v>1</v>
      </c>
    </row>
    <row r="140" spans="1:4" x14ac:dyDescent="0.3">
      <c r="A140">
        <v>139</v>
      </c>
      <c r="B140" t="b">
        <f>ROUND(INDEX(FinancialData[Units Sold],1)*INDEX(FinancialData[Sale Price],1),2)=ROUND(INDEX(FinancialData[Gross Sales],1),2)</f>
        <v>1</v>
      </c>
      <c r="C140" s="12" t="b" cm="1">
        <f t="array" ref="C140">ROUND(INDEX(FinancialData[Gross Sales],A140)-INDEX(FinancialData[Discounts],A140),2)=ROUND(INDEX(FinancialData[ [ Sales] ],A140),2)</f>
        <v>1</v>
      </c>
      <c r="D140" t="b" cm="1">
        <f t="array" ref="D140">ROUND(INDEX(FinancialData[ [ Sales] ],A140)-INDEX(FinancialData[COGS],A140),2)=ROUND(INDEX(FinancialData[Profit],A140),2)</f>
        <v>1</v>
      </c>
    </row>
    <row r="141" spans="1:4" x14ac:dyDescent="0.3">
      <c r="A141">
        <v>140</v>
      </c>
      <c r="B141" t="b">
        <f>ROUND(INDEX(FinancialData[Units Sold],1)*INDEX(FinancialData[Sale Price],1),2)=ROUND(INDEX(FinancialData[Gross Sales],1),2)</f>
        <v>1</v>
      </c>
      <c r="C141" s="12" t="b" cm="1">
        <f t="array" ref="C141">ROUND(INDEX(FinancialData[Gross Sales],A141)-INDEX(FinancialData[Discounts],A141),2)=ROUND(INDEX(FinancialData[ [ Sales] ],A141),2)</f>
        <v>1</v>
      </c>
      <c r="D141" t="b" cm="1">
        <f t="array" ref="D141">ROUND(INDEX(FinancialData[ [ Sales] ],A141)-INDEX(FinancialData[COGS],A141),2)=ROUND(INDEX(FinancialData[Profit],A141),2)</f>
        <v>1</v>
      </c>
    </row>
    <row r="142" spans="1:4" x14ac:dyDescent="0.3">
      <c r="A142">
        <v>141</v>
      </c>
      <c r="B142" t="b">
        <f>ROUND(INDEX(FinancialData[Units Sold],1)*INDEX(FinancialData[Sale Price],1),2)=ROUND(INDEX(FinancialData[Gross Sales],1),2)</f>
        <v>1</v>
      </c>
      <c r="C142" s="12" t="b" cm="1">
        <f t="array" ref="C142">ROUND(INDEX(FinancialData[Gross Sales],A142)-INDEX(FinancialData[Discounts],A142),2)=ROUND(INDEX(FinancialData[ [ Sales] ],A142),2)</f>
        <v>1</v>
      </c>
      <c r="D142" t="b" cm="1">
        <f t="array" ref="D142">ROUND(INDEX(FinancialData[ [ Sales] ],A142)-INDEX(FinancialData[COGS],A142),2)=ROUND(INDEX(FinancialData[Profit],A142),2)</f>
        <v>1</v>
      </c>
    </row>
    <row r="143" spans="1:4" x14ac:dyDescent="0.3">
      <c r="A143">
        <v>142</v>
      </c>
      <c r="B143" t="b">
        <f>ROUND(INDEX(FinancialData[Units Sold],1)*INDEX(FinancialData[Sale Price],1),2)=ROUND(INDEX(FinancialData[Gross Sales],1),2)</f>
        <v>1</v>
      </c>
      <c r="C143" s="12" t="b" cm="1">
        <f t="array" ref="C143">ROUND(INDEX(FinancialData[Gross Sales],A143)-INDEX(FinancialData[Discounts],A143),2)=ROUND(INDEX(FinancialData[ [ Sales] ],A143),2)</f>
        <v>1</v>
      </c>
      <c r="D143" t="b" cm="1">
        <f t="array" ref="D143">ROUND(INDEX(FinancialData[ [ Sales] ],A143)-INDEX(FinancialData[COGS],A143),2)=ROUND(INDEX(FinancialData[Profit],A143),2)</f>
        <v>1</v>
      </c>
    </row>
    <row r="144" spans="1:4" x14ac:dyDescent="0.3">
      <c r="A144">
        <v>143</v>
      </c>
      <c r="B144" t="b">
        <f>ROUND(INDEX(FinancialData[Units Sold],1)*INDEX(FinancialData[Sale Price],1),2)=ROUND(INDEX(FinancialData[Gross Sales],1),2)</f>
        <v>1</v>
      </c>
      <c r="C144" s="12" t="b" cm="1">
        <f t="array" ref="C144">ROUND(INDEX(FinancialData[Gross Sales],A144)-INDEX(FinancialData[Discounts],A144),2)=ROUND(INDEX(FinancialData[ [ Sales] ],A144),2)</f>
        <v>1</v>
      </c>
      <c r="D144" t="b" cm="1">
        <f t="array" ref="D144">ROUND(INDEX(FinancialData[ [ Sales] ],A144)-INDEX(FinancialData[COGS],A144),2)=ROUND(INDEX(FinancialData[Profit],A144),2)</f>
        <v>1</v>
      </c>
    </row>
    <row r="145" spans="1:4" x14ac:dyDescent="0.3">
      <c r="A145">
        <v>144</v>
      </c>
      <c r="B145" t="b">
        <f>ROUND(INDEX(FinancialData[Units Sold],1)*INDEX(FinancialData[Sale Price],1),2)=ROUND(INDEX(FinancialData[Gross Sales],1),2)</f>
        <v>1</v>
      </c>
      <c r="C145" s="12" t="b" cm="1">
        <f t="array" ref="C145">ROUND(INDEX(FinancialData[Gross Sales],A145)-INDEX(FinancialData[Discounts],A145),2)=ROUND(INDEX(FinancialData[ [ Sales] ],A145),2)</f>
        <v>1</v>
      </c>
      <c r="D145" t="b" cm="1">
        <f t="array" ref="D145">ROUND(INDEX(FinancialData[ [ Sales] ],A145)-INDEX(FinancialData[COGS],A145),2)=ROUND(INDEX(FinancialData[Profit],A145),2)</f>
        <v>1</v>
      </c>
    </row>
    <row r="146" spans="1:4" x14ac:dyDescent="0.3">
      <c r="A146">
        <v>145</v>
      </c>
      <c r="B146" t="b">
        <f>ROUND(INDEX(FinancialData[Units Sold],1)*INDEX(FinancialData[Sale Price],1),2)=ROUND(INDEX(FinancialData[Gross Sales],1),2)</f>
        <v>1</v>
      </c>
      <c r="C146" s="12" t="b" cm="1">
        <f t="array" ref="C146">ROUND(INDEX(FinancialData[Gross Sales],A146)-INDEX(FinancialData[Discounts],A146),2)=ROUND(INDEX(FinancialData[ [ Sales] ],A146),2)</f>
        <v>1</v>
      </c>
      <c r="D146" t="b" cm="1">
        <f t="array" ref="D146">ROUND(INDEX(FinancialData[ [ Sales] ],A146)-INDEX(FinancialData[COGS],A146),2)=ROUND(INDEX(FinancialData[Profit],A146),2)</f>
        <v>1</v>
      </c>
    </row>
    <row r="147" spans="1:4" x14ac:dyDescent="0.3">
      <c r="A147">
        <v>146</v>
      </c>
      <c r="B147" t="b">
        <f>ROUND(INDEX(FinancialData[Units Sold],1)*INDEX(FinancialData[Sale Price],1),2)=ROUND(INDEX(FinancialData[Gross Sales],1),2)</f>
        <v>1</v>
      </c>
      <c r="C147" s="12" t="b" cm="1">
        <f t="array" ref="C147">ROUND(INDEX(FinancialData[Gross Sales],A147)-INDEX(FinancialData[Discounts],A147),2)=ROUND(INDEX(FinancialData[ [ Sales] ],A147),2)</f>
        <v>1</v>
      </c>
      <c r="D147" t="b" cm="1">
        <f t="array" ref="D147">ROUND(INDEX(FinancialData[ [ Sales] ],A147)-INDEX(FinancialData[COGS],A147),2)=ROUND(INDEX(FinancialData[Profit],A147),2)</f>
        <v>1</v>
      </c>
    </row>
    <row r="148" spans="1:4" x14ac:dyDescent="0.3">
      <c r="A148">
        <v>147</v>
      </c>
      <c r="B148" t="b">
        <f>ROUND(INDEX(FinancialData[Units Sold],1)*INDEX(FinancialData[Sale Price],1),2)=ROUND(INDEX(FinancialData[Gross Sales],1),2)</f>
        <v>1</v>
      </c>
      <c r="C148" s="12" t="b" cm="1">
        <f t="array" ref="C148">ROUND(INDEX(FinancialData[Gross Sales],A148)-INDEX(FinancialData[Discounts],A148),2)=ROUND(INDEX(FinancialData[ [ Sales] ],A148),2)</f>
        <v>1</v>
      </c>
      <c r="D148" t="b" cm="1">
        <f t="array" ref="D148">ROUND(INDEX(FinancialData[ [ Sales] ],A148)-INDEX(FinancialData[COGS],A148),2)=ROUND(INDEX(FinancialData[Profit],A148),2)</f>
        <v>1</v>
      </c>
    </row>
    <row r="149" spans="1:4" x14ac:dyDescent="0.3">
      <c r="A149">
        <v>148</v>
      </c>
      <c r="B149" t="b">
        <f>ROUND(INDEX(FinancialData[Units Sold],1)*INDEX(FinancialData[Sale Price],1),2)=ROUND(INDEX(FinancialData[Gross Sales],1),2)</f>
        <v>1</v>
      </c>
      <c r="C149" s="12" t="b" cm="1">
        <f t="array" ref="C149">ROUND(INDEX(FinancialData[Gross Sales],A149)-INDEX(FinancialData[Discounts],A149),2)=ROUND(INDEX(FinancialData[ [ Sales] ],A149),2)</f>
        <v>1</v>
      </c>
      <c r="D149" t="b" cm="1">
        <f t="array" ref="D149">ROUND(INDEX(FinancialData[ [ Sales] ],A149)-INDEX(FinancialData[COGS],A149),2)=ROUND(INDEX(FinancialData[Profit],A149),2)</f>
        <v>1</v>
      </c>
    </row>
    <row r="150" spans="1:4" x14ac:dyDescent="0.3">
      <c r="A150">
        <v>149</v>
      </c>
      <c r="B150" t="b">
        <f>ROUND(INDEX(FinancialData[Units Sold],1)*INDEX(FinancialData[Sale Price],1),2)=ROUND(INDEX(FinancialData[Gross Sales],1),2)</f>
        <v>1</v>
      </c>
      <c r="C150" s="12" t="b" cm="1">
        <f t="array" ref="C150">ROUND(INDEX(FinancialData[Gross Sales],A150)-INDEX(FinancialData[Discounts],A150),2)=ROUND(INDEX(FinancialData[ [ Sales] ],A150),2)</f>
        <v>1</v>
      </c>
      <c r="D150" t="b" cm="1">
        <f t="array" ref="D150">ROUND(INDEX(FinancialData[ [ Sales] ],A150)-INDEX(FinancialData[COGS],A150),2)=ROUND(INDEX(FinancialData[Profit],A150),2)</f>
        <v>1</v>
      </c>
    </row>
    <row r="151" spans="1:4" x14ac:dyDescent="0.3">
      <c r="A151">
        <v>150</v>
      </c>
      <c r="B151" t="b">
        <f>ROUND(INDEX(FinancialData[Units Sold],1)*INDEX(FinancialData[Sale Price],1),2)=ROUND(INDEX(FinancialData[Gross Sales],1),2)</f>
        <v>1</v>
      </c>
      <c r="C151" s="12" t="b" cm="1">
        <f t="array" ref="C151">ROUND(INDEX(FinancialData[Gross Sales],A151)-INDEX(FinancialData[Discounts],A151),2)=ROUND(INDEX(FinancialData[ [ Sales] ],A151),2)</f>
        <v>1</v>
      </c>
      <c r="D151" t="b" cm="1">
        <f t="array" ref="D151">ROUND(INDEX(FinancialData[ [ Sales] ],A151)-INDEX(FinancialData[COGS],A151),2)=ROUND(INDEX(FinancialData[Profit],A151),2)</f>
        <v>1</v>
      </c>
    </row>
    <row r="152" spans="1:4" x14ac:dyDescent="0.3">
      <c r="A152">
        <v>151</v>
      </c>
      <c r="B152" t="b">
        <f>ROUND(INDEX(FinancialData[Units Sold],1)*INDEX(FinancialData[Sale Price],1),2)=ROUND(INDEX(FinancialData[Gross Sales],1),2)</f>
        <v>1</v>
      </c>
      <c r="C152" s="12" t="b" cm="1">
        <f t="array" ref="C152">ROUND(INDEX(FinancialData[Gross Sales],A152)-INDEX(FinancialData[Discounts],A152),2)=ROUND(INDEX(FinancialData[ [ Sales] ],A152),2)</f>
        <v>1</v>
      </c>
      <c r="D152" t="b" cm="1">
        <f t="array" ref="D152">ROUND(INDEX(FinancialData[ [ Sales] ],A152)-INDEX(FinancialData[COGS],A152),2)=ROUND(INDEX(FinancialData[Profit],A152),2)</f>
        <v>1</v>
      </c>
    </row>
    <row r="153" spans="1:4" x14ac:dyDescent="0.3">
      <c r="A153">
        <v>152</v>
      </c>
      <c r="B153" t="b">
        <f>ROUND(INDEX(FinancialData[Units Sold],1)*INDEX(FinancialData[Sale Price],1),2)=ROUND(INDEX(FinancialData[Gross Sales],1),2)</f>
        <v>1</v>
      </c>
      <c r="C153" s="12" t="b" cm="1">
        <f t="array" ref="C153">ROUND(INDEX(FinancialData[Gross Sales],A153)-INDEX(FinancialData[Discounts],A153),2)=ROUND(INDEX(FinancialData[ [ Sales] ],A153),2)</f>
        <v>1</v>
      </c>
      <c r="D153" t="b" cm="1">
        <f t="array" ref="D153">ROUND(INDEX(FinancialData[ [ Sales] ],A153)-INDEX(FinancialData[COGS],A153),2)=ROUND(INDEX(FinancialData[Profit],A153),2)</f>
        <v>1</v>
      </c>
    </row>
    <row r="154" spans="1:4" x14ac:dyDescent="0.3">
      <c r="A154">
        <v>153</v>
      </c>
      <c r="B154" t="b">
        <f>ROUND(INDEX(FinancialData[Units Sold],1)*INDEX(FinancialData[Sale Price],1),2)=ROUND(INDEX(FinancialData[Gross Sales],1),2)</f>
        <v>1</v>
      </c>
      <c r="C154" s="12" t="b" cm="1">
        <f t="array" ref="C154">ROUND(INDEX(FinancialData[Gross Sales],A154)-INDEX(FinancialData[Discounts],A154),2)=ROUND(INDEX(FinancialData[ [ Sales] ],A154),2)</f>
        <v>1</v>
      </c>
      <c r="D154" t="b" cm="1">
        <f t="array" ref="D154">ROUND(INDEX(FinancialData[ [ Sales] ],A154)-INDEX(FinancialData[COGS],A154),2)=ROUND(INDEX(FinancialData[Profit],A154),2)</f>
        <v>1</v>
      </c>
    </row>
    <row r="155" spans="1:4" x14ac:dyDescent="0.3">
      <c r="A155">
        <v>154</v>
      </c>
      <c r="B155" t="b">
        <f>ROUND(INDEX(FinancialData[Units Sold],1)*INDEX(FinancialData[Sale Price],1),2)=ROUND(INDEX(FinancialData[Gross Sales],1),2)</f>
        <v>1</v>
      </c>
      <c r="C155" s="12" t="b" cm="1">
        <f t="array" ref="C155">ROUND(INDEX(FinancialData[Gross Sales],A155)-INDEX(FinancialData[Discounts],A155),2)=ROUND(INDEX(FinancialData[ [ Sales] ],A155),2)</f>
        <v>1</v>
      </c>
      <c r="D155" t="b" cm="1">
        <f t="array" ref="D155">ROUND(INDEX(FinancialData[ [ Sales] ],A155)-INDEX(FinancialData[COGS],A155),2)=ROUND(INDEX(FinancialData[Profit],A155),2)</f>
        <v>1</v>
      </c>
    </row>
    <row r="156" spans="1:4" x14ac:dyDescent="0.3">
      <c r="A156">
        <v>155</v>
      </c>
      <c r="B156" t="b">
        <f>ROUND(INDEX(FinancialData[Units Sold],1)*INDEX(FinancialData[Sale Price],1),2)=ROUND(INDEX(FinancialData[Gross Sales],1),2)</f>
        <v>1</v>
      </c>
      <c r="C156" s="12" t="b" cm="1">
        <f t="array" ref="C156">ROUND(INDEX(FinancialData[Gross Sales],A156)-INDEX(FinancialData[Discounts],A156),2)=ROUND(INDEX(FinancialData[ [ Sales] ],A156),2)</f>
        <v>1</v>
      </c>
      <c r="D156" t="b" cm="1">
        <f t="array" ref="D156">ROUND(INDEX(FinancialData[ [ Sales] ],A156)-INDEX(FinancialData[COGS],A156),2)=ROUND(INDEX(FinancialData[Profit],A156),2)</f>
        <v>1</v>
      </c>
    </row>
    <row r="157" spans="1:4" x14ac:dyDescent="0.3">
      <c r="A157">
        <v>156</v>
      </c>
      <c r="B157" t="b">
        <f>ROUND(INDEX(FinancialData[Units Sold],1)*INDEX(FinancialData[Sale Price],1),2)=ROUND(INDEX(FinancialData[Gross Sales],1),2)</f>
        <v>1</v>
      </c>
      <c r="C157" s="12" t="b" cm="1">
        <f t="array" ref="C157">ROUND(INDEX(FinancialData[Gross Sales],A157)-INDEX(FinancialData[Discounts],A157),2)=ROUND(INDEX(FinancialData[ [ Sales] ],A157),2)</f>
        <v>1</v>
      </c>
      <c r="D157" t="b" cm="1">
        <f t="array" ref="D157">ROUND(INDEX(FinancialData[ [ Sales] ],A157)-INDEX(FinancialData[COGS],A157),2)=ROUND(INDEX(FinancialData[Profit],A157),2)</f>
        <v>1</v>
      </c>
    </row>
    <row r="158" spans="1:4" x14ac:dyDescent="0.3">
      <c r="A158">
        <v>157</v>
      </c>
      <c r="B158" t="b">
        <f>ROUND(INDEX(FinancialData[Units Sold],1)*INDEX(FinancialData[Sale Price],1),2)=ROUND(INDEX(FinancialData[Gross Sales],1),2)</f>
        <v>1</v>
      </c>
      <c r="C158" s="12" t="b" cm="1">
        <f t="array" ref="C158">ROUND(INDEX(FinancialData[Gross Sales],A158)-INDEX(FinancialData[Discounts],A158),2)=ROUND(INDEX(FinancialData[ [ Sales] ],A158),2)</f>
        <v>1</v>
      </c>
      <c r="D158" t="b" cm="1">
        <f t="array" ref="D158">ROUND(INDEX(FinancialData[ [ Sales] ],A158)-INDEX(FinancialData[COGS],A158),2)=ROUND(INDEX(FinancialData[Profit],A158),2)</f>
        <v>1</v>
      </c>
    </row>
    <row r="159" spans="1:4" x14ac:dyDescent="0.3">
      <c r="A159">
        <v>158</v>
      </c>
      <c r="B159" t="b">
        <f>ROUND(INDEX(FinancialData[Units Sold],1)*INDEX(FinancialData[Sale Price],1),2)=ROUND(INDEX(FinancialData[Gross Sales],1),2)</f>
        <v>1</v>
      </c>
      <c r="C159" s="12" t="b" cm="1">
        <f t="array" ref="C159">ROUND(INDEX(FinancialData[Gross Sales],A159)-INDEX(FinancialData[Discounts],A159),2)=ROUND(INDEX(FinancialData[ [ Sales] ],A159),2)</f>
        <v>1</v>
      </c>
      <c r="D159" t="b" cm="1">
        <f t="array" ref="D159">ROUND(INDEX(FinancialData[ [ Sales] ],A159)-INDEX(FinancialData[COGS],A159),2)=ROUND(INDEX(FinancialData[Profit],A159),2)</f>
        <v>1</v>
      </c>
    </row>
    <row r="160" spans="1:4" x14ac:dyDescent="0.3">
      <c r="A160">
        <v>159</v>
      </c>
      <c r="B160" t="b">
        <f>ROUND(INDEX(FinancialData[Units Sold],1)*INDEX(FinancialData[Sale Price],1),2)=ROUND(INDEX(FinancialData[Gross Sales],1),2)</f>
        <v>1</v>
      </c>
      <c r="C160" s="12" t="b" cm="1">
        <f t="array" ref="C160">ROUND(INDEX(FinancialData[Gross Sales],A160)-INDEX(FinancialData[Discounts],A160),2)=ROUND(INDEX(FinancialData[ [ Sales] ],A160),2)</f>
        <v>1</v>
      </c>
      <c r="D160" t="b" cm="1">
        <f t="array" ref="D160">ROUND(INDEX(FinancialData[ [ Sales] ],A160)-INDEX(FinancialData[COGS],A160),2)=ROUND(INDEX(FinancialData[Profit],A160),2)</f>
        <v>1</v>
      </c>
    </row>
    <row r="161" spans="1:4" x14ac:dyDescent="0.3">
      <c r="A161">
        <v>160</v>
      </c>
      <c r="B161" t="b">
        <f>ROUND(INDEX(FinancialData[Units Sold],1)*INDEX(FinancialData[Sale Price],1),2)=ROUND(INDEX(FinancialData[Gross Sales],1),2)</f>
        <v>1</v>
      </c>
      <c r="C161" s="12" t="b" cm="1">
        <f t="array" ref="C161">ROUND(INDEX(FinancialData[Gross Sales],A161)-INDEX(FinancialData[Discounts],A161),2)=ROUND(INDEX(FinancialData[ [ Sales] ],A161),2)</f>
        <v>1</v>
      </c>
      <c r="D161" t="b" cm="1">
        <f t="array" ref="D161">ROUND(INDEX(FinancialData[ [ Sales] ],A161)-INDEX(FinancialData[COGS],A161),2)=ROUND(INDEX(FinancialData[Profit],A161),2)</f>
        <v>1</v>
      </c>
    </row>
    <row r="162" spans="1:4" x14ac:dyDescent="0.3">
      <c r="A162">
        <v>161</v>
      </c>
      <c r="B162" t="b">
        <f>ROUND(INDEX(FinancialData[Units Sold],1)*INDEX(FinancialData[Sale Price],1),2)=ROUND(INDEX(FinancialData[Gross Sales],1),2)</f>
        <v>1</v>
      </c>
      <c r="C162" s="12" t="b" cm="1">
        <f t="array" ref="C162">ROUND(INDEX(FinancialData[Gross Sales],A162)-INDEX(FinancialData[Discounts],A162),2)=ROUND(INDEX(FinancialData[ [ Sales] ],A162),2)</f>
        <v>1</v>
      </c>
      <c r="D162" t="b" cm="1">
        <f t="array" ref="D162">ROUND(INDEX(FinancialData[ [ Sales] ],A162)-INDEX(FinancialData[COGS],A162),2)=ROUND(INDEX(FinancialData[Profit],A162),2)</f>
        <v>1</v>
      </c>
    </row>
    <row r="163" spans="1:4" x14ac:dyDescent="0.3">
      <c r="A163">
        <v>162</v>
      </c>
      <c r="B163" t="b">
        <f>ROUND(INDEX(FinancialData[Units Sold],1)*INDEX(FinancialData[Sale Price],1),2)=ROUND(INDEX(FinancialData[Gross Sales],1),2)</f>
        <v>1</v>
      </c>
      <c r="C163" s="12" t="b" cm="1">
        <f t="array" ref="C163">ROUND(INDEX(FinancialData[Gross Sales],A163)-INDEX(FinancialData[Discounts],A163),2)=ROUND(INDEX(FinancialData[ [ Sales] ],A163),2)</f>
        <v>1</v>
      </c>
      <c r="D163" t="b" cm="1">
        <f t="array" ref="D163">ROUND(INDEX(FinancialData[ [ Sales] ],A163)-INDEX(FinancialData[COGS],A163),2)=ROUND(INDEX(FinancialData[Profit],A163),2)</f>
        <v>1</v>
      </c>
    </row>
    <row r="164" spans="1:4" x14ac:dyDescent="0.3">
      <c r="A164">
        <v>163</v>
      </c>
      <c r="B164" t="b">
        <f>ROUND(INDEX(FinancialData[Units Sold],1)*INDEX(FinancialData[Sale Price],1),2)=ROUND(INDEX(FinancialData[Gross Sales],1),2)</f>
        <v>1</v>
      </c>
      <c r="C164" s="12" t="b" cm="1">
        <f t="array" ref="C164">ROUND(INDEX(FinancialData[Gross Sales],A164)-INDEX(FinancialData[Discounts],A164),2)=ROUND(INDEX(FinancialData[ [ Sales] ],A164),2)</f>
        <v>1</v>
      </c>
      <c r="D164" t="b" cm="1">
        <f t="array" ref="D164">ROUND(INDEX(FinancialData[ [ Sales] ],A164)-INDEX(FinancialData[COGS],A164),2)=ROUND(INDEX(FinancialData[Profit],A164),2)</f>
        <v>1</v>
      </c>
    </row>
    <row r="165" spans="1:4" x14ac:dyDescent="0.3">
      <c r="A165">
        <v>164</v>
      </c>
      <c r="B165" t="b">
        <f>ROUND(INDEX(FinancialData[Units Sold],1)*INDEX(FinancialData[Sale Price],1),2)=ROUND(INDEX(FinancialData[Gross Sales],1),2)</f>
        <v>1</v>
      </c>
      <c r="C165" s="12" t="b" cm="1">
        <f t="array" ref="C165">ROUND(INDEX(FinancialData[Gross Sales],A165)-INDEX(FinancialData[Discounts],A165),2)=ROUND(INDEX(FinancialData[ [ Sales] ],A165),2)</f>
        <v>1</v>
      </c>
      <c r="D165" t="b" cm="1">
        <f t="array" ref="D165">ROUND(INDEX(FinancialData[ [ Sales] ],A165)-INDEX(FinancialData[COGS],A165),2)=ROUND(INDEX(FinancialData[Profit],A165),2)</f>
        <v>1</v>
      </c>
    </row>
    <row r="166" spans="1:4" x14ac:dyDescent="0.3">
      <c r="A166">
        <v>165</v>
      </c>
      <c r="B166" t="b">
        <f>ROUND(INDEX(FinancialData[Units Sold],1)*INDEX(FinancialData[Sale Price],1),2)=ROUND(INDEX(FinancialData[Gross Sales],1),2)</f>
        <v>1</v>
      </c>
      <c r="C166" s="12" t="b" cm="1">
        <f t="array" ref="C166">ROUND(INDEX(FinancialData[Gross Sales],A166)-INDEX(FinancialData[Discounts],A166),2)=ROUND(INDEX(FinancialData[ [ Sales] ],A166),2)</f>
        <v>1</v>
      </c>
      <c r="D166" t="b" cm="1">
        <f t="array" ref="D166">ROUND(INDEX(FinancialData[ [ Sales] ],A166)-INDEX(FinancialData[COGS],A166),2)=ROUND(INDEX(FinancialData[Profit],A166),2)</f>
        <v>1</v>
      </c>
    </row>
    <row r="167" spans="1:4" x14ac:dyDescent="0.3">
      <c r="A167">
        <v>166</v>
      </c>
      <c r="B167" t="b">
        <f>ROUND(INDEX(FinancialData[Units Sold],1)*INDEX(FinancialData[Sale Price],1),2)=ROUND(INDEX(FinancialData[Gross Sales],1),2)</f>
        <v>1</v>
      </c>
      <c r="C167" s="12" t="b" cm="1">
        <f t="array" ref="C167">ROUND(INDEX(FinancialData[Gross Sales],A167)-INDEX(FinancialData[Discounts],A167),2)=ROUND(INDEX(FinancialData[ [ Sales] ],A167),2)</f>
        <v>1</v>
      </c>
      <c r="D167" t="b" cm="1">
        <f t="array" ref="D167">ROUND(INDEX(FinancialData[ [ Sales] ],A167)-INDEX(FinancialData[COGS],A167),2)=ROUND(INDEX(FinancialData[Profit],A167),2)</f>
        <v>1</v>
      </c>
    </row>
    <row r="168" spans="1:4" x14ac:dyDescent="0.3">
      <c r="A168">
        <v>167</v>
      </c>
      <c r="B168" t="b">
        <f>ROUND(INDEX(FinancialData[Units Sold],1)*INDEX(FinancialData[Sale Price],1),2)=ROUND(INDEX(FinancialData[Gross Sales],1),2)</f>
        <v>1</v>
      </c>
      <c r="C168" s="12" t="b" cm="1">
        <f t="array" ref="C168">ROUND(INDEX(FinancialData[Gross Sales],A168)-INDEX(FinancialData[Discounts],A168),2)=ROUND(INDEX(FinancialData[ [ Sales] ],A168),2)</f>
        <v>1</v>
      </c>
      <c r="D168" t="b" cm="1">
        <f t="array" ref="D168">ROUND(INDEX(FinancialData[ [ Sales] ],A168)-INDEX(FinancialData[COGS],A168),2)=ROUND(INDEX(FinancialData[Profit],A168),2)</f>
        <v>1</v>
      </c>
    </row>
    <row r="169" spans="1:4" x14ac:dyDescent="0.3">
      <c r="A169">
        <v>168</v>
      </c>
      <c r="B169" t="b">
        <f>ROUND(INDEX(FinancialData[Units Sold],1)*INDEX(FinancialData[Sale Price],1),2)=ROUND(INDEX(FinancialData[Gross Sales],1),2)</f>
        <v>1</v>
      </c>
      <c r="C169" s="12" t="b" cm="1">
        <f t="array" ref="C169">ROUND(INDEX(FinancialData[Gross Sales],A169)-INDEX(FinancialData[Discounts],A169),2)=ROUND(INDEX(FinancialData[ [ Sales] ],A169),2)</f>
        <v>1</v>
      </c>
      <c r="D169" t="b" cm="1">
        <f t="array" ref="D169">ROUND(INDEX(FinancialData[ [ Sales] ],A169)-INDEX(FinancialData[COGS],A169),2)=ROUND(INDEX(FinancialData[Profit],A169),2)</f>
        <v>1</v>
      </c>
    </row>
    <row r="170" spans="1:4" x14ac:dyDescent="0.3">
      <c r="A170">
        <v>169</v>
      </c>
      <c r="B170" t="b">
        <f>ROUND(INDEX(FinancialData[Units Sold],1)*INDEX(FinancialData[Sale Price],1),2)=ROUND(INDEX(FinancialData[Gross Sales],1),2)</f>
        <v>1</v>
      </c>
      <c r="C170" s="12" t="b" cm="1">
        <f t="array" ref="C170">ROUND(INDEX(FinancialData[Gross Sales],A170)-INDEX(FinancialData[Discounts],A170),2)=ROUND(INDEX(FinancialData[ [ Sales] ],A170),2)</f>
        <v>1</v>
      </c>
      <c r="D170" t="b" cm="1">
        <f t="array" ref="D170">ROUND(INDEX(FinancialData[ [ Sales] ],A170)-INDEX(FinancialData[COGS],A170),2)=ROUND(INDEX(FinancialData[Profit],A170),2)</f>
        <v>1</v>
      </c>
    </row>
    <row r="171" spans="1:4" x14ac:dyDescent="0.3">
      <c r="A171">
        <v>170</v>
      </c>
      <c r="B171" t="b">
        <f>ROUND(INDEX(FinancialData[Units Sold],1)*INDEX(FinancialData[Sale Price],1),2)=ROUND(INDEX(FinancialData[Gross Sales],1),2)</f>
        <v>1</v>
      </c>
      <c r="C171" s="12" t="b" cm="1">
        <f t="array" ref="C171">ROUND(INDEX(FinancialData[Gross Sales],A171)-INDEX(FinancialData[Discounts],A171),2)=ROUND(INDEX(FinancialData[ [ Sales] ],A171),2)</f>
        <v>1</v>
      </c>
      <c r="D171" t="b" cm="1">
        <f t="array" ref="D171">ROUND(INDEX(FinancialData[ [ Sales] ],A171)-INDEX(FinancialData[COGS],A171),2)=ROUND(INDEX(FinancialData[Profit],A171),2)</f>
        <v>1</v>
      </c>
    </row>
    <row r="172" spans="1:4" x14ac:dyDescent="0.3">
      <c r="A172">
        <v>171</v>
      </c>
      <c r="B172" t="b">
        <f>ROUND(INDEX(FinancialData[Units Sold],1)*INDEX(FinancialData[Sale Price],1),2)=ROUND(INDEX(FinancialData[Gross Sales],1),2)</f>
        <v>1</v>
      </c>
      <c r="C172" s="12" t="b" cm="1">
        <f t="array" ref="C172">ROUND(INDEX(FinancialData[Gross Sales],A172)-INDEX(FinancialData[Discounts],A172),2)=ROUND(INDEX(FinancialData[ [ Sales] ],A172),2)</f>
        <v>1</v>
      </c>
      <c r="D172" t="b" cm="1">
        <f t="array" ref="D172">ROUND(INDEX(FinancialData[ [ Sales] ],A172)-INDEX(FinancialData[COGS],A172),2)=ROUND(INDEX(FinancialData[Profit],A172),2)</f>
        <v>1</v>
      </c>
    </row>
    <row r="173" spans="1:4" x14ac:dyDescent="0.3">
      <c r="A173">
        <v>172</v>
      </c>
      <c r="B173" t="b">
        <f>ROUND(INDEX(FinancialData[Units Sold],1)*INDEX(FinancialData[Sale Price],1),2)=ROUND(INDEX(FinancialData[Gross Sales],1),2)</f>
        <v>1</v>
      </c>
      <c r="C173" s="12" t="b" cm="1">
        <f t="array" ref="C173">ROUND(INDEX(FinancialData[Gross Sales],A173)-INDEX(FinancialData[Discounts],A173),2)=ROUND(INDEX(FinancialData[ [ Sales] ],A173),2)</f>
        <v>1</v>
      </c>
      <c r="D173" t="b" cm="1">
        <f t="array" ref="D173">ROUND(INDEX(FinancialData[ [ Sales] ],A173)-INDEX(FinancialData[COGS],A173),2)=ROUND(INDEX(FinancialData[Profit],A173),2)</f>
        <v>1</v>
      </c>
    </row>
    <row r="174" spans="1:4" x14ac:dyDescent="0.3">
      <c r="A174">
        <v>173</v>
      </c>
      <c r="B174" t="b">
        <f>ROUND(INDEX(FinancialData[Units Sold],1)*INDEX(FinancialData[Sale Price],1),2)=ROUND(INDEX(FinancialData[Gross Sales],1),2)</f>
        <v>1</v>
      </c>
      <c r="C174" s="12" t="b" cm="1">
        <f t="array" ref="C174">ROUND(INDEX(FinancialData[Gross Sales],A174)-INDEX(FinancialData[Discounts],A174),2)=ROUND(INDEX(FinancialData[ [ Sales] ],A174),2)</f>
        <v>1</v>
      </c>
      <c r="D174" t="b" cm="1">
        <f t="array" ref="D174">ROUND(INDEX(FinancialData[ [ Sales] ],A174)-INDEX(FinancialData[COGS],A174),2)=ROUND(INDEX(FinancialData[Profit],A174),2)</f>
        <v>1</v>
      </c>
    </row>
    <row r="175" spans="1:4" x14ac:dyDescent="0.3">
      <c r="A175">
        <v>174</v>
      </c>
      <c r="B175" t="b">
        <f>ROUND(INDEX(FinancialData[Units Sold],1)*INDEX(FinancialData[Sale Price],1),2)=ROUND(INDEX(FinancialData[Gross Sales],1),2)</f>
        <v>1</v>
      </c>
      <c r="C175" s="12" t="b" cm="1">
        <f t="array" ref="C175">ROUND(INDEX(FinancialData[Gross Sales],A175)-INDEX(FinancialData[Discounts],A175),2)=ROUND(INDEX(FinancialData[ [ Sales] ],A175),2)</f>
        <v>1</v>
      </c>
      <c r="D175" t="b" cm="1">
        <f t="array" ref="D175">ROUND(INDEX(FinancialData[ [ Sales] ],A175)-INDEX(FinancialData[COGS],A175),2)=ROUND(INDEX(FinancialData[Profit],A175),2)</f>
        <v>1</v>
      </c>
    </row>
    <row r="176" spans="1:4" x14ac:dyDescent="0.3">
      <c r="A176">
        <v>175</v>
      </c>
      <c r="B176" t="b">
        <f>ROUND(INDEX(FinancialData[Units Sold],1)*INDEX(FinancialData[Sale Price],1),2)=ROUND(INDEX(FinancialData[Gross Sales],1),2)</f>
        <v>1</v>
      </c>
      <c r="C176" s="12" t="b" cm="1">
        <f t="array" ref="C176">ROUND(INDEX(FinancialData[Gross Sales],A176)-INDEX(FinancialData[Discounts],A176),2)=ROUND(INDEX(FinancialData[ [ Sales] ],A176),2)</f>
        <v>1</v>
      </c>
      <c r="D176" t="b" cm="1">
        <f t="array" ref="D176">ROUND(INDEX(FinancialData[ [ Sales] ],A176)-INDEX(FinancialData[COGS],A176),2)=ROUND(INDEX(FinancialData[Profit],A176),2)</f>
        <v>1</v>
      </c>
    </row>
    <row r="177" spans="1:4" x14ac:dyDescent="0.3">
      <c r="A177">
        <v>176</v>
      </c>
      <c r="B177" t="b">
        <f>ROUND(INDEX(FinancialData[Units Sold],1)*INDEX(FinancialData[Sale Price],1),2)=ROUND(INDEX(FinancialData[Gross Sales],1),2)</f>
        <v>1</v>
      </c>
      <c r="C177" s="12" t="b" cm="1">
        <f t="array" ref="C177">ROUND(INDEX(FinancialData[Gross Sales],A177)-INDEX(FinancialData[Discounts],A177),2)=ROUND(INDEX(FinancialData[ [ Sales] ],A177),2)</f>
        <v>1</v>
      </c>
      <c r="D177" t="b" cm="1">
        <f t="array" ref="D177">ROUND(INDEX(FinancialData[ [ Sales] ],A177)-INDEX(FinancialData[COGS],A177),2)=ROUND(INDEX(FinancialData[Profit],A177),2)</f>
        <v>1</v>
      </c>
    </row>
    <row r="178" spans="1:4" x14ac:dyDescent="0.3">
      <c r="A178">
        <v>177</v>
      </c>
      <c r="B178" t="b">
        <f>ROUND(INDEX(FinancialData[Units Sold],1)*INDEX(FinancialData[Sale Price],1),2)=ROUND(INDEX(FinancialData[Gross Sales],1),2)</f>
        <v>1</v>
      </c>
      <c r="C178" s="12" t="b" cm="1">
        <f t="array" ref="C178">ROUND(INDEX(FinancialData[Gross Sales],A178)-INDEX(FinancialData[Discounts],A178),2)=ROUND(INDEX(FinancialData[ [ Sales] ],A178),2)</f>
        <v>1</v>
      </c>
      <c r="D178" t="b" cm="1">
        <f t="array" ref="D178">ROUND(INDEX(FinancialData[ [ Sales] ],A178)-INDEX(FinancialData[COGS],A178),2)=ROUND(INDEX(FinancialData[Profit],A178),2)</f>
        <v>1</v>
      </c>
    </row>
    <row r="179" spans="1:4" x14ac:dyDescent="0.3">
      <c r="A179">
        <v>178</v>
      </c>
      <c r="B179" t="b">
        <f>ROUND(INDEX(FinancialData[Units Sold],1)*INDEX(FinancialData[Sale Price],1),2)=ROUND(INDEX(FinancialData[Gross Sales],1),2)</f>
        <v>1</v>
      </c>
      <c r="C179" s="12" t="b" cm="1">
        <f t="array" ref="C179">ROUND(INDEX(FinancialData[Gross Sales],A179)-INDEX(FinancialData[Discounts],A179),2)=ROUND(INDEX(FinancialData[ [ Sales] ],A179),2)</f>
        <v>1</v>
      </c>
      <c r="D179" t="b" cm="1">
        <f t="array" ref="D179">ROUND(INDEX(FinancialData[ [ Sales] ],A179)-INDEX(FinancialData[COGS],A179),2)=ROUND(INDEX(FinancialData[Profit],A179),2)</f>
        <v>1</v>
      </c>
    </row>
    <row r="180" spans="1:4" x14ac:dyDescent="0.3">
      <c r="A180">
        <v>179</v>
      </c>
      <c r="B180" t="b">
        <f>ROUND(INDEX(FinancialData[Units Sold],1)*INDEX(FinancialData[Sale Price],1),2)=ROUND(INDEX(FinancialData[Gross Sales],1),2)</f>
        <v>1</v>
      </c>
      <c r="C180" s="12" t="b" cm="1">
        <f t="array" ref="C180">ROUND(INDEX(FinancialData[Gross Sales],A180)-INDEX(FinancialData[Discounts],A180),2)=ROUND(INDEX(FinancialData[ [ Sales] ],A180),2)</f>
        <v>1</v>
      </c>
      <c r="D180" t="b" cm="1">
        <f t="array" ref="D180">ROUND(INDEX(FinancialData[ [ Sales] ],A180)-INDEX(FinancialData[COGS],A180),2)=ROUND(INDEX(FinancialData[Profit],A180),2)</f>
        <v>1</v>
      </c>
    </row>
    <row r="181" spans="1:4" x14ac:dyDescent="0.3">
      <c r="A181">
        <v>180</v>
      </c>
      <c r="B181" t="b">
        <f>ROUND(INDEX(FinancialData[Units Sold],1)*INDEX(FinancialData[Sale Price],1),2)=ROUND(INDEX(FinancialData[Gross Sales],1),2)</f>
        <v>1</v>
      </c>
      <c r="C181" s="12" t="b" cm="1">
        <f t="array" ref="C181">ROUND(INDEX(FinancialData[Gross Sales],A181)-INDEX(FinancialData[Discounts],A181),2)=ROUND(INDEX(FinancialData[ [ Sales] ],A181),2)</f>
        <v>1</v>
      </c>
      <c r="D181" t="b" cm="1">
        <f t="array" ref="D181">ROUND(INDEX(FinancialData[ [ Sales] ],A181)-INDEX(FinancialData[COGS],A181),2)=ROUND(INDEX(FinancialData[Profit],A181),2)</f>
        <v>1</v>
      </c>
    </row>
    <row r="182" spans="1:4" x14ac:dyDescent="0.3">
      <c r="A182">
        <v>181</v>
      </c>
      <c r="B182" t="b">
        <f>ROUND(INDEX(FinancialData[Units Sold],1)*INDEX(FinancialData[Sale Price],1),2)=ROUND(INDEX(FinancialData[Gross Sales],1),2)</f>
        <v>1</v>
      </c>
      <c r="C182" s="12" t="b" cm="1">
        <f t="array" ref="C182">ROUND(INDEX(FinancialData[Gross Sales],A182)-INDEX(FinancialData[Discounts],A182),2)=ROUND(INDEX(FinancialData[ [ Sales] ],A182),2)</f>
        <v>1</v>
      </c>
      <c r="D182" t="b" cm="1">
        <f t="array" ref="D182">ROUND(INDEX(FinancialData[ [ Sales] ],A182)-INDEX(FinancialData[COGS],A182),2)=ROUND(INDEX(FinancialData[Profit],A182),2)</f>
        <v>1</v>
      </c>
    </row>
    <row r="183" spans="1:4" x14ac:dyDescent="0.3">
      <c r="A183">
        <v>182</v>
      </c>
      <c r="B183" t="b">
        <f>ROUND(INDEX(FinancialData[Units Sold],1)*INDEX(FinancialData[Sale Price],1),2)=ROUND(INDEX(FinancialData[Gross Sales],1),2)</f>
        <v>1</v>
      </c>
      <c r="C183" s="12" t="b" cm="1">
        <f t="array" ref="C183">ROUND(INDEX(FinancialData[Gross Sales],A183)-INDEX(FinancialData[Discounts],A183),2)=ROUND(INDEX(FinancialData[ [ Sales] ],A183),2)</f>
        <v>1</v>
      </c>
      <c r="D183" t="b" cm="1">
        <f t="array" ref="D183">ROUND(INDEX(FinancialData[ [ Sales] ],A183)-INDEX(FinancialData[COGS],A183),2)=ROUND(INDEX(FinancialData[Profit],A183),2)</f>
        <v>1</v>
      </c>
    </row>
    <row r="184" spans="1:4" x14ac:dyDescent="0.3">
      <c r="A184">
        <v>183</v>
      </c>
      <c r="B184" t="b">
        <f>ROUND(INDEX(FinancialData[Units Sold],1)*INDEX(FinancialData[Sale Price],1),2)=ROUND(INDEX(FinancialData[Gross Sales],1),2)</f>
        <v>1</v>
      </c>
      <c r="C184" s="12" t="b" cm="1">
        <f t="array" ref="C184">ROUND(INDEX(FinancialData[Gross Sales],A184)-INDEX(FinancialData[Discounts],A184),2)=ROUND(INDEX(FinancialData[ [ Sales] ],A184),2)</f>
        <v>1</v>
      </c>
      <c r="D184" t="b" cm="1">
        <f t="array" ref="D184">ROUND(INDEX(FinancialData[ [ Sales] ],A184)-INDEX(FinancialData[COGS],A184),2)=ROUND(INDEX(FinancialData[Profit],A184),2)</f>
        <v>1</v>
      </c>
    </row>
    <row r="185" spans="1:4" x14ac:dyDescent="0.3">
      <c r="A185">
        <v>184</v>
      </c>
      <c r="B185" t="b">
        <f>ROUND(INDEX(FinancialData[Units Sold],1)*INDEX(FinancialData[Sale Price],1),2)=ROUND(INDEX(FinancialData[Gross Sales],1),2)</f>
        <v>1</v>
      </c>
      <c r="C185" s="12" t="b" cm="1">
        <f t="array" ref="C185">ROUND(INDEX(FinancialData[Gross Sales],A185)-INDEX(FinancialData[Discounts],A185),2)=ROUND(INDEX(FinancialData[ [ Sales] ],A185),2)</f>
        <v>1</v>
      </c>
      <c r="D185" t="b" cm="1">
        <f t="array" ref="D185">ROUND(INDEX(FinancialData[ [ Sales] ],A185)-INDEX(FinancialData[COGS],A185),2)=ROUND(INDEX(FinancialData[Profit],A185),2)</f>
        <v>1</v>
      </c>
    </row>
    <row r="186" spans="1:4" x14ac:dyDescent="0.3">
      <c r="A186">
        <v>185</v>
      </c>
      <c r="B186" t="b">
        <f>ROUND(INDEX(FinancialData[Units Sold],1)*INDEX(FinancialData[Sale Price],1),2)=ROUND(INDEX(FinancialData[Gross Sales],1),2)</f>
        <v>1</v>
      </c>
      <c r="C186" s="12" t="b" cm="1">
        <f t="array" ref="C186">ROUND(INDEX(FinancialData[Gross Sales],A186)-INDEX(FinancialData[Discounts],A186),2)=ROUND(INDEX(FinancialData[ [ Sales] ],A186),2)</f>
        <v>1</v>
      </c>
      <c r="D186" t="b" cm="1">
        <f t="array" ref="D186">ROUND(INDEX(FinancialData[ [ Sales] ],A186)-INDEX(FinancialData[COGS],A186),2)=ROUND(INDEX(FinancialData[Profit],A186),2)</f>
        <v>1</v>
      </c>
    </row>
    <row r="187" spans="1:4" x14ac:dyDescent="0.3">
      <c r="A187">
        <v>186</v>
      </c>
      <c r="B187" t="b">
        <f>ROUND(INDEX(FinancialData[Units Sold],1)*INDEX(FinancialData[Sale Price],1),2)=ROUND(INDEX(FinancialData[Gross Sales],1),2)</f>
        <v>1</v>
      </c>
      <c r="C187" s="12" t="b" cm="1">
        <f t="array" ref="C187">ROUND(INDEX(FinancialData[Gross Sales],A187)-INDEX(FinancialData[Discounts],A187),2)=ROUND(INDEX(FinancialData[ [ Sales] ],A187),2)</f>
        <v>1</v>
      </c>
      <c r="D187" t="b" cm="1">
        <f t="array" ref="D187">ROUND(INDEX(FinancialData[ [ Sales] ],A187)-INDEX(FinancialData[COGS],A187),2)=ROUND(INDEX(FinancialData[Profit],A187),2)</f>
        <v>1</v>
      </c>
    </row>
    <row r="188" spans="1:4" x14ac:dyDescent="0.3">
      <c r="A188">
        <v>187</v>
      </c>
      <c r="B188" t="b">
        <f>ROUND(INDEX(FinancialData[Units Sold],1)*INDEX(FinancialData[Sale Price],1),2)=ROUND(INDEX(FinancialData[Gross Sales],1),2)</f>
        <v>1</v>
      </c>
      <c r="C188" s="12" t="b" cm="1">
        <f t="array" ref="C188">ROUND(INDEX(FinancialData[Gross Sales],A188)-INDEX(FinancialData[Discounts],A188),2)=ROUND(INDEX(FinancialData[ [ Sales] ],A188),2)</f>
        <v>1</v>
      </c>
      <c r="D188" t="b" cm="1">
        <f t="array" ref="D188">ROUND(INDEX(FinancialData[ [ Sales] ],A188)-INDEX(FinancialData[COGS],A188),2)=ROUND(INDEX(FinancialData[Profit],A188),2)</f>
        <v>1</v>
      </c>
    </row>
    <row r="189" spans="1:4" x14ac:dyDescent="0.3">
      <c r="A189">
        <v>188</v>
      </c>
      <c r="B189" t="b">
        <f>ROUND(INDEX(FinancialData[Units Sold],1)*INDEX(FinancialData[Sale Price],1),2)=ROUND(INDEX(FinancialData[Gross Sales],1),2)</f>
        <v>1</v>
      </c>
      <c r="C189" s="12" t="b" cm="1">
        <f t="array" ref="C189">ROUND(INDEX(FinancialData[Gross Sales],A189)-INDEX(FinancialData[Discounts],A189),2)=ROUND(INDEX(FinancialData[ [ Sales] ],A189),2)</f>
        <v>1</v>
      </c>
      <c r="D189" t="b" cm="1">
        <f t="array" ref="D189">ROUND(INDEX(FinancialData[ [ Sales] ],A189)-INDEX(FinancialData[COGS],A189),2)=ROUND(INDEX(FinancialData[Profit],A189),2)</f>
        <v>1</v>
      </c>
    </row>
    <row r="190" spans="1:4" x14ac:dyDescent="0.3">
      <c r="A190">
        <v>189</v>
      </c>
      <c r="B190" t="b">
        <f>ROUND(INDEX(FinancialData[Units Sold],1)*INDEX(FinancialData[Sale Price],1),2)=ROUND(INDEX(FinancialData[Gross Sales],1),2)</f>
        <v>1</v>
      </c>
      <c r="C190" s="12" t="b" cm="1">
        <f t="array" ref="C190">ROUND(INDEX(FinancialData[Gross Sales],A190)-INDEX(FinancialData[Discounts],A190),2)=ROUND(INDEX(FinancialData[ [ Sales] ],A190),2)</f>
        <v>1</v>
      </c>
      <c r="D190" t="b" cm="1">
        <f t="array" ref="D190">ROUND(INDEX(FinancialData[ [ Sales] ],A190)-INDEX(FinancialData[COGS],A190),2)=ROUND(INDEX(FinancialData[Profit],A190),2)</f>
        <v>1</v>
      </c>
    </row>
    <row r="191" spans="1:4" x14ac:dyDescent="0.3">
      <c r="A191">
        <v>190</v>
      </c>
      <c r="B191" t="b">
        <f>ROUND(INDEX(FinancialData[Units Sold],1)*INDEX(FinancialData[Sale Price],1),2)=ROUND(INDEX(FinancialData[Gross Sales],1),2)</f>
        <v>1</v>
      </c>
      <c r="C191" s="12" t="b" cm="1">
        <f t="array" ref="C191">ROUND(INDEX(FinancialData[Gross Sales],A191)-INDEX(FinancialData[Discounts],A191),2)=ROUND(INDEX(FinancialData[ [ Sales] ],A191),2)</f>
        <v>1</v>
      </c>
      <c r="D191" t="b" cm="1">
        <f t="array" ref="D191">ROUND(INDEX(FinancialData[ [ Sales] ],A191)-INDEX(FinancialData[COGS],A191),2)=ROUND(INDEX(FinancialData[Profit],A191),2)</f>
        <v>1</v>
      </c>
    </row>
    <row r="192" spans="1:4" x14ac:dyDescent="0.3">
      <c r="A192">
        <v>191</v>
      </c>
      <c r="B192" t="b">
        <f>ROUND(INDEX(FinancialData[Units Sold],1)*INDEX(FinancialData[Sale Price],1),2)=ROUND(INDEX(FinancialData[Gross Sales],1),2)</f>
        <v>1</v>
      </c>
      <c r="C192" s="12" t="b" cm="1">
        <f t="array" ref="C192">ROUND(INDEX(FinancialData[Gross Sales],A192)-INDEX(FinancialData[Discounts],A192),2)=ROUND(INDEX(FinancialData[ [ Sales] ],A192),2)</f>
        <v>1</v>
      </c>
      <c r="D192" t="b" cm="1">
        <f t="array" ref="D192">ROUND(INDEX(FinancialData[ [ Sales] ],A192)-INDEX(FinancialData[COGS],A192),2)=ROUND(INDEX(FinancialData[Profit],A192),2)</f>
        <v>1</v>
      </c>
    </row>
    <row r="193" spans="1:4" x14ac:dyDescent="0.3">
      <c r="A193">
        <v>192</v>
      </c>
      <c r="B193" t="b">
        <f>ROUND(INDEX(FinancialData[Units Sold],1)*INDEX(FinancialData[Sale Price],1),2)=ROUND(INDEX(FinancialData[Gross Sales],1),2)</f>
        <v>1</v>
      </c>
      <c r="C193" s="12" t="b" cm="1">
        <f t="array" ref="C193">ROUND(INDEX(FinancialData[Gross Sales],A193)-INDEX(FinancialData[Discounts],A193),2)=ROUND(INDEX(FinancialData[ [ Sales] ],A193),2)</f>
        <v>1</v>
      </c>
      <c r="D193" t="b" cm="1">
        <f t="array" ref="D193">ROUND(INDEX(FinancialData[ [ Sales] ],A193)-INDEX(FinancialData[COGS],A193),2)=ROUND(INDEX(FinancialData[Profit],A193),2)</f>
        <v>1</v>
      </c>
    </row>
    <row r="194" spans="1:4" x14ac:dyDescent="0.3">
      <c r="A194">
        <v>193</v>
      </c>
      <c r="B194" t="b">
        <f>ROUND(INDEX(FinancialData[Units Sold],1)*INDEX(FinancialData[Sale Price],1),2)=ROUND(INDEX(FinancialData[Gross Sales],1),2)</f>
        <v>1</v>
      </c>
      <c r="C194" s="12" t="b" cm="1">
        <f t="array" ref="C194">ROUND(INDEX(FinancialData[Gross Sales],A194)-INDEX(FinancialData[Discounts],A194),2)=ROUND(INDEX(FinancialData[ [ Sales] ],A194),2)</f>
        <v>1</v>
      </c>
      <c r="D194" t="b" cm="1">
        <f t="array" ref="D194">ROUND(INDEX(FinancialData[ [ Sales] ],A194)-INDEX(FinancialData[COGS],A194),2)=ROUND(INDEX(FinancialData[Profit],A194),2)</f>
        <v>1</v>
      </c>
    </row>
    <row r="195" spans="1:4" x14ac:dyDescent="0.3">
      <c r="A195">
        <v>194</v>
      </c>
      <c r="B195" t="b">
        <f>ROUND(INDEX(FinancialData[Units Sold],1)*INDEX(FinancialData[Sale Price],1),2)=ROUND(INDEX(FinancialData[Gross Sales],1),2)</f>
        <v>1</v>
      </c>
      <c r="C195" s="12" t="b" cm="1">
        <f t="array" ref="C195">ROUND(INDEX(FinancialData[Gross Sales],A195)-INDEX(FinancialData[Discounts],A195),2)=ROUND(INDEX(FinancialData[ [ Sales] ],A195),2)</f>
        <v>1</v>
      </c>
      <c r="D195" t="b" cm="1">
        <f t="array" ref="D195">ROUND(INDEX(FinancialData[ [ Sales] ],A195)-INDEX(FinancialData[COGS],A195),2)=ROUND(INDEX(FinancialData[Profit],A195),2)</f>
        <v>1</v>
      </c>
    </row>
    <row r="196" spans="1:4" x14ac:dyDescent="0.3">
      <c r="A196">
        <v>195</v>
      </c>
      <c r="B196" t="b">
        <f>ROUND(INDEX(FinancialData[Units Sold],1)*INDEX(FinancialData[Sale Price],1),2)=ROUND(INDEX(FinancialData[Gross Sales],1),2)</f>
        <v>1</v>
      </c>
      <c r="C196" s="12" t="b" cm="1">
        <f t="array" ref="C196">ROUND(INDEX(FinancialData[Gross Sales],A196)-INDEX(FinancialData[Discounts],A196),2)=ROUND(INDEX(FinancialData[ [ Sales] ],A196),2)</f>
        <v>1</v>
      </c>
      <c r="D196" t="b" cm="1">
        <f t="array" ref="D196">ROUND(INDEX(FinancialData[ [ Sales] ],A196)-INDEX(FinancialData[COGS],A196),2)=ROUND(INDEX(FinancialData[Profit],A196),2)</f>
        <v>1</v>
      </c>
    </row>
    <row r="197" spans="1:4" x14ac:dyDescent="0.3">
      <c r="A197">
        <v>196</v>
      </c>
      <c r="B197" t="b">
        <f>ROUND(INDEX(FinancialData[Units Sold],1)*INDEX(FinancialData[Sale Price],1),2)=ROUND(INDEX(FinancialData[Gross Sales],1),2)</f>
        <v>1</v>
      </c>
      <c r="C197" s="12" t="b" cm="1">
        <f t="array" ref="C197">ROUND(INDEX(FinancialData[Gross Sales],A197)-INDEX(FinancialData[Discounts],A197),2)=ROUND(INDEX(FinancialData[ [ Sales] ],A197),2)</f>
        <v>1</v>
      </c>
      <c r="D197" t="b" cm="1">
        <f t="array" ref="D197">ROUND(INDEX(FinancialData[ [ Sales] ],A197)-INDEX(FinancialData[COGS],A197),2)=ROUND(INDEX(FinancialData[Profit],A197),2)</f>
        <v>1</v>
      </c>
    </row>
    <row r="198" spans="1:4" x14ac:dyDescent="0.3">
      <c r="A198">
        <v>197</v>
      </c>
      <c r="B198" t="b">
        <f>ROUND(INDEX(FinancialData[Units Sold],1)*INDEX(FinancialData[Sale Price],1),2)=ROUND(INDEX(FinancialData[Gross Sales],1),2)</f>
        <v>1</v>
      </c>
      <c r="C198" s="12" t="b" cm="1">
        <f t="array" ref="C198">ROUND(INDEX(FinancialData[Gross Sales],A198)-INDEX(FinancialData[Discounts],A198),2)=ROUND(INDEX(FinancialData[ [ Sales] ],A198),2)</f>
        <v>1</v>
      </c>
      <c r="D198" t="b" cm="1">
        <f t="array" ref="D198">ROUND(INDEX(FinancialData[ [ Sales] ],A198)-INDEX(FinancialData[COGS],A198),2)=ROUND(INDEX(FinancialData[Profit],A198),2)</f>
        <v>1</v>
      </c>
    </row>
    <row r="199" spans="1:4" x14ac:dyDescent="0.3">
      <c r="A199">
        <v>198</v>
      </c>
      <c r="B199" t="b">
        <f>ROUND(INDEX(FinancialData[Units Sold],1)*INDEX(FinancialData[Sale Price],1),2)=ROUND(INDEX(FinancialData[Gross Sales],1),2)</f>
        <v>1</v>
      </c>
      <c r="C199" s="12" t="b" cm="1">
        <f t="array" ref="C199">ROUND(INDEX(FinancialData[Gross Sales],A199)-INDEX(FinancialData[Discounts],A199),2)=ROUND(INDEX(FinancialData[ [ Sales] ],A199),2)</f>
        <v>1</v>
      </c>
      <c r="D199" t="b" cm="1">
        <f t="array" ref="D199">ROUND(INDEX(FinancialData[ [ Sales] ],A199)-INDEX(FinancialData[COGS],A199),2)=ROUND(INDEX(FinancialData[Profit],A199),2)</f>
        <v>1</v>
      </c>
    </row>
    <row r="200" spans="1:4" x14ac:dyDescent="0.3">
      <c r="A200">
        <v>199</v>
      </c>
      <c r="B200" t="b">
        <f>ROUND(INDEX(FinancialData[Units Sold],1)*INDEX(FinancialData[Sale Price],1),2)=ROUND(INDEX(FinancialData[Gross Sales],1),2)</f>
        <v>1</v>
      </c>
      <c r="C200" s="12" t="b" cm="1">
        <f t="array" ref="C200">ROUND(INDEX(FinancialData[Gross Sales],A200)-INDEX(FinancialData[Discounts],A200),2)=ROUND(INDEX(FinancialData[ [ Sales] ],A200),2)</f>
        <v>1</v>
      </c>
      <c r="D200" t="b" cm="1">
        <f t="array" ref="D200">ROUND(INDEX(FinancialData[ [ Sales] ],A200)-INDEX(FinancialData[COGS],A200),2)=ROUND(INDEX(FinancialData[Profit],A200),2)</f>
        <v>1</v>
      </c>
    </row>
    <row r="201" spans="1:4" x14ac:dyDescent="0.3">
      <c r="A201">
        <v>200</v>
      </c>
      <c r="B201" t="b">
        <f>ROUND(INDEX(FinancialData[Units Sold],1)*INDEX(FinancialData[Sale Price],1),2)=ROUND(INDEX(FinancialData[Gross Sales],1),2)</f>
        <v>1</v>
      </c>
      <c r="C201" s="12" t="b" cm="1">
        <f t="array" ref="C201">ROUND(INDEX(FinancialData[Gross Sales],A201)-INDEX(FinancialData[Discounts],A201),2)=ROUND(INDEX(FinancialData[ [ Sales] ],A201),2)</f>
        <v>1</v>
      </c>
      <c r="D201" t="b" cm="1">
        <f t="array" ref="D201">ROUND(INDEX(FinancialData[ [ Sales] ],A201)-INDEX(FinancialData[COGS],A201),2)=ROUND(INDEX(FinancialData[Profit],A201),2)</f>
        <v>1</v>
      </c>
    </row>
    <row r="202" spans="1:4" x14ac:dyDescent="0.3">
      <c r="A202">
        <v>201</v>
      </c>
      <c r="B202" t="b">
        <f>ROUND(INDEX(FinancialData[Units Sold],1)*INDEX(FinancialData[Sale Price],1),2)=ROUND(INDEX(FinancialData[Gross Sales],1),2)</f>
        <v>1</v>
      </c>
      <c r="C202" s="12" t="b" cm="1">
        <f t="array" ref="C202">ROUND(INDEX(FinancialData[Gross Sales],A202)-INDEX(FinancialData[Discounts],A202),2)=ROUND(INDEX(FinancialData[ [ Sales] ],A202),2)</f>
        <v>1</v>
      </c>
      <c r="D202" t="b" cm="1">
        <f t="array" ref="D202">ROUND(INDEX(FinancialData[ [ Sales] ],A202)-INDEX(FinancialData[COGS],A202),2)=ROUND(INDEX(FinancialData[Profit],A202),2)</f>
        <v>1</v>
      </c>
    </row>
    <row r="203" spans="1:4" x14ac:dyDescent="0.3">
      <c r="A203">
        <v>202</v>
      </c>
      <c r="B203" t="b">
        <f>ROUND(INDEX(FinancialData[Units Sold],1)*INDEX(FinancialData[Sale Price],1),2)=ROUND(INDEX(FinancialData[Gross Sales],1),2)</f>
        <v>1</v>
      </c>
      <c r="C203" s="12" t="b" cm="1">
        <f t="array" ref="C203">ROUND(INDEX(FinancialData[Gross Sales],A203)-INDEX(FinancialData[Discounts],A203),2)=ROUND(INDEX(FinancialData[ [ Sales] ],A203),2)</f>
        <v>1</v>
      </c>
      <c r="D203" t="b" cm="1">
        <f t="array" ref="D203">ROUND(INDEX(FinancialData[ [ Sales] ],A203)-INDEX(FinancialData[COGS],A203),2)=ROUND(INDEX(FinancialData[Profit],A203),2)</f>
        <v>1</v>
      </c>
    </row>
    <row r="204" spans="1:4" x14ac:dyDescent="0.3">
      <c r="A204">
        <v>203</v>
      </c>
      <c r="B204" t="b">
        <f>ROUND(INDEX(FinancialData[Units Sold],1)*INDEX(FinancialData[Sale Price],1),2)=ROUND(INDEX(FinancialData[Gross Sales],1),2)</f>
        <v>1</v>
      </c>
      <c r="C204" s="12" t="b" cm="1">
        <f t="array" ref="C204">ROUND(INDEX(FinancialData[Gross Sales],A204)-INDEX(FinancialData[Discounts],A204),2)=ROUND(INDEX(FinancialData[ [ Sales] ],A204),2)</f>
        <v>1</v>
      </c>
      <c r="D204" t="b" cm="1">
        <f t="array" ref="D204">ROUND(INDEX(FinancialData[ [ Sales] ],A204)-INDEX(FinancialData[COGS],A204),2)=ROUND(INDEX(FinancialData[Profit],A204),2)</f>
        <v>1</v>
      </c>
    </row>
    <row r="205" spans="1:4" x14ac:dyDescent="0.3">
      <c r="A205">
        <v>204</v>
      </c>
      <c r="B205" t="b">
        <f>ROUND(INDEX(FinancialData[Units Sold],1)*INDEX(FinancialData[Sale Price],1),2)=ROUND(INDEX(FinancialData[Gross Sales],1),2)</f>
        <v>1</v>
      </c>
      <c r="C205" s="12" t="b" cm="1">
        <f t="array" ref="C205">ROUND(INDEX(FinancialData[Gross Sales],A205)-INDEX(FinancialData[Discounts],A205),2)=ROUND(INDEX(FinancialData[ [ Sales] ],A205),2)</f>
        <v>1</v>
      </c>
      <c r="D205" t="b" cm="1">
        <f t="array" ref="D205">ROUND(INDEX(FinancialData[ [ Sales] ],A205)-INDEX(FinancialData[COGS],A205),2)=ROUND(INDEX(FinancialData[Profit],A205),2)</f>
        <v>1</v>
      </c>
    </row>
    <row r="206" spans="1:4" x14ac:dyDescent="0.3">
      <c r="A206">
        <v>205</v>
      </c>
      <c r="B206" t="b">
        <f>ROUND(INDEX(FinancialData[Units Sold],1)*INDEX(FinancialData[Sale Price],1),2)=ROUND(INDEX(FinancialData[Gross Sales],1),2)</f>
        <v>1</v>
      </c>
      <c r="C206" s="12" t="b" cm="1">
        <f t="array" ref="C206">ROUND(INDEX(FinancialData[Gross Sales],A206)-INDEX(FinancialData[Discounts],A206),2)=ROUND(INDEX(FinancialData[ [ Sales] ],A206),2)</f>
        <v>1</v>
      </c>
      <c r="D206" t="b" cm="1">
        <f t="array" ref="D206">ROUND(INDEX(FinancialData[ [ Sales] ],A206)-INDEX(FinancialData[COGS],A206),2)=ROUND(INDEX(FinancialData[Profit],A206),2)</f>
        <v>1</v>
      </c>
    </row>
    <row r="207" spans="1:4" x14ac:dyDescent="0.3">
      <c r="A207">
        <v>206</v>
      </c>
      <c r="B207" t="b">
        <f>ROUND(INDEX(FinancialData[Units Sold],1)*INDEX(FinancialData[Sale Price],1),2)=ROUND(INDEX(FinancialData[Gross Sales],1),2)</f>
        <v>1</v>
      </c>
      <c r="C207" s="12" t="b" cm="1">
        <f t="array" ref="C207">ROUND(INDEX(FinancialData[Gross Sales],A207)-INDEX(FinancialData[Discounts],A207),2)=ROUND(INDEX(FinancialData[ [ Sales] ],A207),2)</f>
        <v>1</v>
      </c>
      <c r="D207" t="b" cm="1">
        <f t="array" ref="D207">ROUND(INDEX(FinancialData[ [ Sales] ],A207)-INDEX(FinancialData[COGS],A207),2)=ROUND(INDEX(FinancialData[Profit],A207),2)</f>
        <v>1</v>
      </c>
    </row>
    <row r="208" spans="1:4" x14ac:dyDescent="0.3">
      <c r="A208">
        <v>207</v>
      </c>
      <c r="B208" t="b">
        <f>ROUND(INDEX(FinancialData[Units Sold],1)*INDEX(FinancialData[Sale Price],1),2)=ROUND(INDEX(FinancialData[Gross Sales],1),2)</f>
        <v>1</v>
      </c>
      <c r="C208" s="12" t="b" cm="1">
        <f t="array" ref="C208">ROUND(INDEX(FinancialData[Gross Sales],A208)-INDEX(FinancialData[Discounts],A208),2)=ROUND(INDEX(FinancialData[ [ Sales] ],A208),2)</f>
        <v>1</v>
      </c>
      <c r="D208" t="b" cm="1">
        <f t="array" ref="D208">ROUND(INDEX(FinancialData[ [ Sales] ],A208)-INDEX(FinancialData[COGS],A208),2)=ROUND(INDEX(FinancialData[Profit],A208),2)</f>
        <v>1</v>
      </c>
    </row>
    <row r="209" spans="1:4" x14ac:dyDescent="0.3">
      <c r="A209">
        <v>208</v>
      </c>
      <c r="B209" t="b">
        <f>ROUND(INDEX(FinancialData[Units Sold],1)*INDEX(FinancialData[Sale Price],1),2)=ROUND(INDEX(FinancialData[Gross Sales],1),2)</f>
        <v>1</v>
      </c>
      <c r="C209" s="12" t="b" cm="1">
        <f t="array" ref="C209">ROUND(INDEX(FinancialData[Gross Sales],A209)-INDEX(FinancialData[Discounts],A209),2)=ROUND(INDEX(FinancialData[ [ Sales] ],A209),2)</f>
        <v>1</v>
      </c>
      <c r="D209" t="b" cm="1">
        <f t="array" ref="D209">ROUND(INDEX(FinancialData[ [ Sales] ],A209)-INDEX(FinancialData[COGS],A209),2)=ROUND(INDEX(FinancialData[Profit],A209),2)</f>
        <v>1</v>
      </c>
    </row>
    <row r="210" spans="1:4" x14ac:dyDescent="0.3">
      <c r="A210">
        <v>209</v>
      </c>
      <c r="B210" t="b">
        <f>ROUND(INDEX(FinancialData[Units Sold],1)*INDEX(FinancialData[Sale Price],1),2)=ROUND(INDEX(FinancialData[Gross Sales],1),2)</f>
        <v>1</v>
      </c>
      <c r="C210" s="12" t="b" cm="1">
        <f t="array" ref="C210">ROUND(INDEX(FinancialData[Gross Sales],A210)-INDEX(FinancialData[Discounts],A210),2)=ROUND(INDEX(FinancialData[ [ Sales] ],A210),2)</f>
        <v>1</v>
      </c>
      <c r="D210" t="b" cm="1">
        <f t="array" ref="D210">ROUND(INDEX(FinancialData[ [ Sales] ],A210)-INDEX(FinancialData[COGS],A210),2)=ROUND(INDEX(FinancialData[Profit],A210),2)</f>
        <v>1</v>
      </c>
    </row>
    <row r="211" spans="1:4" x14ac:dyDescent="0.3">
      <c r="A211">
        <v>210</v>
      </c>
      <c r="B211" t="b">
        <f>ROUND(INDEX(FinancialData[Units Sold],1)*INDEX(FinancialData[Sale Price],1),2)=ROUND(INDEX(FinancialData[Gross Sales],1),2)</f>
        <v>1</v>
      </c>
      <c r="C211" s="12" t="b" cm="1">
        <f t="array" ref="C211">ROUND(INDEX(FinancialData[Gross Sales],A211)-INDEX(FinancialData[Discounts],A211),2)=ROUND(INDEX(FinancialData[ [ Sales] ],A211),2)</f>
        <v>1</v>
      </c>
      <c r="D211" t="b" cm="1">
        <f t="array" ref="D211">ROUND(INDEX(FinancialData[ [ Sales] ],A211)-INDEX(FinancialData[COGS],A211),2)=ROUND(INDEX(FinancialData[Profit],A211),2)</f>
        <v>1</v>
      </c>
    </row>
    <row r="212" spans="1:4" x14ac:dyDescent="0.3">
      <c r="A212">
        <v>211</v>
      </c>
      <c r="B212" t="b">
        <f>ROUND(INDEX(FinancialData[Units Sold],1)*INDEX(FinancialData[Sale Price],1),2)=ROUND(INDEX(FinancialData[Gross Sales],1),2)</f>
        <v>1</v>
      </c>
      <c r="C212" s="12" t="b" cm="1">
        <f t="array" ref="C212">ROUND(INDEX(FinancialData[Gross Sales],A212)-INDEX(FinancialData[Discounts],A212),2)=ROUND(INDEX(FinancialData[ [ Sales] ],A212),2)</f>
        <v>1</v>
      </c>
      <c r="D212" t="b" cm="1">
        <f t="array" ref="D212">ROUND(INDEX(FinancialData[ [ Sales] ],A212)-INDEX(FinancialData[COGS],A212),2)=ROUND(INDEX(FinancialData[Profit],A212),2)</f>
        <v>1</v>
      </c>
    </row>
    <row r="213" spans="1:4" x14ac:dyDescent="0.3">
      <c r="A213">
        <v>212</v>
      </c>
      <c r="B213" t="b">
        <f>ROUND(INDEX(FinancialData[Units Sold],1)*INDEX(FinancialData[Sale Price],1),2)=ROUND(INDEX(FinancialData[Gross Sales],1),2)</f>
        <v>1</v>
      </c>
      <c r="C213" s="12" t="b" cm="1">
        <f t="array" ref="C213">ROUND(INDEX(FinancialData[Gross Sales],A213)-INDEX(FinancialData[Discounts],A213),2)=ROUND(INDEX(FinancialData[ [ Sales] ],A213),2)</f>
        <v>1</v>
      </c>
      <c r="D213" t="b" cm="1">
        <f t="array" ref="D213">ROUND(INDEX(FinancialData[ [ Sales] ],A213)-INDEX(FinancialData[COGS],A213),2)=ROUND(INDEX(FinancialData[Profit],A213),2)</f>
        <v>1</v>
      </c>
    </row>
    <row r="214" spans="1:4" x14ac:dyDescent="0.3">
      <c r="A214">
        <v>213</v>
      </c>
      <c r="B214" t="b">
        <f>ROUND(INDEX(FinancialData[Units Sold],1)*INDEX(FinancialData[Sale Price],1),2)=ROUND(INDEX(FinancialData[Gross Sales],1),2)</f>
        <v>1</v>
      </c>
      <c r="C214" s="12" t="b" cm="1">
        <f t="array" ref="C214">ROUND(INDEX(FinancialData[Gross Sales],A214)-INDEX(FinancialData[Discounts],A214),2)=ROUND(INDEX(FinancialData[ [ Sales] ],A214),2)</f>
        <v>1</v>
      </c>
      <c r="D214" t="b" cm="1">
        <f t="array" ref="D214">ROUND(INDEX(FinancialData[ [ Sales] ],A214)-INDEX(FinancialData[COGS],A214),2)=ROUND(INDEX(FinancialData[Profit],A214),2)</f>
        <v>1</v>
      </c>
    </row>
    <row r="215" spans="1:4" x14ac:dyDescent="0.3">
      <c r="A215">
        <v>214</v>
      </c>
      <c r="B215" t="b">
        <f>ROUND(INDEX(FinancialData[Units Sold],1)*INDEX(FinancialData[Sale Price],1),2)=ROUND(INDEX(FinancialData[Gross Sales],1),2)</f>
        <v>1</v>
      </c>
      <c r="C215" s="12" t="b" cm="1">
        <f t="array" ref="C215">ROUND(INDEX(FinancialData[Gross Sales],A215)-INDEX(FinancialData[Discounts],A215),2)=ROUND(INDEX(FinancialData[ [ Sales] ],A215),2)</f>
        <v>1</v>
      </c>
      <c r="D215" t="b" cm="1">
        <f t="array" ref="D215">ROUND(INDEX(FinancialData[ [ Sales] ],A215)-INDEX(FinancialData[COGS],A215),2)=ROUND(INDEX(FinancialData[Profit],A215),2)</f>
        <v>1</v>
      </c>
    </row>
    <row r="216" spans="1:4" x14ac:dyDescent="0.3">
      <c r="A216">
        <v>215</v>
      </c>
      <c r="B216" t="b">
        <f>ROUND(INDEX(FinancialData[Units Sold],1)*INDEX(FinancialData[Sale Price],1),2)=ROUND(INDEX(FinancialData[Gross Sales],1),2)</f>
        <v>1</v>
      </c>
      <c r="C216" s="12" t="b" cm="1">
        <f t="array" ref="C216">ROUND(INDEX(FinancialData[Gross Sales],A216)-INDEX(FinancialData[Discounts],A216),2)=ROUND(INDEX(FinancialData[ [ Sales] ],A216),2)</f>
        <v>1</v>
      </c>
      <c r="D216" t="b" cm="1">
        <f t="array" ref="D216">ROUND(INDEX(FinancialData[ [ Sales] ],A216)-INDEX(FinancialData[COGS],A216),2)=ROUND(INDEX(FinancialData[Profit],A216),2)</f>
        <v>1</v>
      </c>
    </row>
    <row r="217" spans="1:4" x14ac:dyDescent="0.3">
      <c r="A217">
        <v>216</v>
      </c>
      <c r="B217" t="b">
        <f>ROUND(INDEX(FinancialData[Units Sold],1)*INDEX(FinancialData[Sale Price],1),2)=ROUND(INDEX(FinancialData[Gross Sales],1),2)</f>
        <v>1</v>
      </c>
      <c r="C217" s="12" t="b" cm="1">
        <f t="array" ref="C217">ROUND(INDEX(FinancialData[Gross Sales],A217)-INDEX(FinancialData[Discounts],A217),2)=ROUND(INDEX(FinancialData[ [ Sales] ],A217),2)</f>
        <v>1</v>
      </c>
      <c r="D217" t="b" cm="1">
        <f t="array" ref="D217">ROUND(INDEX(FinancialData[ [ Sales] ],A217)-INDEX(FinancialData[COGS],A217),2)=ROUND(INDEX(FinancialData[Profit],A217),2)</f>
        <v>1</v>
      </c>
    </row>
    <row r="218" spans="1:4" x14ac:dyDescent="0.3">
      <c r="A218">
        <v>217</v>
      </c>
      <c r="B218" t="b">
        <f>ROUND(INDEX(FinancialData[Units Sold],1)*INDEX(FinancialData[Sale Price],1),2)=ROUND(INDEX(FinancialData[Gross Sales],1),2)</f>
        <v>1</v>
      </c>
      <c r="C218" s="12" t="b" cm="1">
        <f t="array" ref="C218">ROUND(INDEX(FinancialData[Gross Sales],A218)-INDEX(FinancialData[Discounts],A218),2)=ROUND(INDEX(FinancialData[ [ Sales] ],A218),2)</f>
        <v>1</v>
      </c>
      <c r="D218" t="b" cm="1">
        <f t="array" ref="D218">ROUND(INDEX(FinancialData[ [ Sales] ],A218)-INDEX(FinancialData[COGS],A218),2)=ROUND(INDEX(FinancialData[Profit],A218),2)</f>
        <v>1</v>
      </c>
    </row>
    <row r="219" spans="1:4" x14ac:dyDescent="0.3">
      <c r="A219">
        <v>218</v>
      </c>
      <c r="B219" t="b">
        <f>ROUND(INDEX(FinancialData[Units Sold],1)*INDEX(FinancialData[Sale Price],1),2)=ROUND(INDEX(FinancialData[Gross Sales],1),2)</f>
        <v>1</v>
      </c>
      <c r="C219" s="12" t="b" cm="1">
        <f t="array" ref="C219">ROUND(INDEX(FinancialData[Gross Sales],A219)-INDEX(FinancialData[Discounts],A219),2)=ROUND(INDEX(FinancialData[ [ Sales] ],A219),2)</f>
        <v>1</v>
      </c>
      <c r="D219" t="b" cm="1">
        <f t="array" ref="D219">ROUND(INDEX(FinancialData[ [ Sales] ],A219)-INDEX(FinancialData[COGS],A219),2)=ROUND(INDEX(FinancialData[Profit],A219),2)</f>
        <v>1</v>
      </c>
    </row>
    <row r="220" spans="1:4" x14ac:dyDescent="0.3">
      <c r="A220">
        <v>219</v>
      </c>
      <c r="B220" t="b">
        <f>ROUND(INDEX(FinancialData[Units Sold],1)*INDEX(FinancialData[Sale Price],1),2)=ROUND(INDEX(FinancialData[Gross Sales],1),2)</f>
        <v>1</v>
      </c>
      <c r="C220" s="12" t="b" cm="1">
        <f t="array" ref="C220">ROUND(INDEX(FinancialData[Gross Sales],A220)-INDEX(FinancialData[Discounts],A220),2)=ROUND(INDEX(FinancialData[ [ Sales] ],A220),2)</f>
        <v>1</v>
      </c>
      <c r="D220" t="b" cm="1">
        <f t="array" ref="D220">ROUND(INDEX(FinancialData[ [ Sales] ],A220)-INDEX(FinancialData[COGS],A220),2)=ROUND(INDEX(FinancialData[Profit],A220),2)</f>
        <v>1</v>
      </c>
    </row>
    <row r="221" spans="1:4" x14ac:dyDescent="0.3">
      <c r="A221">
        <v>220</v>
      </c>
      <c r="B221" t="b">
        <f>ROUND(INDEX(FinancialData[Units Sold],1)*INDEX(FinancialData[Sale Price],1),2)=ROUND(INDEX(FinancialData[Gross Sales],1),2)</f>
        <v>1</v>
      </c>
      <c r="C221" s="12" t="b" cm="1">
        <f t="array" ref="C221">ROUND(INDEX(FinancialData[Gross Sales],A221)-INDEX(FinancialData[Discounts],A221),2)=ROUND(INDEX(FinancialData[ [ Sales] ],A221),2)</f>
        <v>1</v>
      </c>
      <c r="D221" t="b" cm="1">
        <f t="array" ref="D221">ROUND(INDEX(FinancialData[ [ Sales] ],A221)-INDEX(FinancialData[COGS],A221),2)=ROUND(INDEX(FinancialData[Profit],A221),2)</f>
        <v>1</v>
      </c>
    </row>
    <row r="222" spans="1:4" x14ac:dyDescent="0.3">
      <c r="A222">
        <v>221</v>
      </c>
      <c r="B222" t="b">
        <f>ROUND(INDEX(FinancialData[Units Sold],1)*INDEX(FinancialData[Sale Price],1),2)=ROUND(INDEX(FinancialData[Gross Sales],1),2)</f>
        <v>1</v>
      </c>
      <c r="C222" s="12" t="b" cm="1">
        <f t="array" ref="C222">ROUND(INDEX(FinancialData[Gross Sales],A222)-INDEX(FinancialData[Discounts],A222),2)=ROUND(INDEX(FinancialData[ [ Sales] ],A222),2)</f>
        <v>1</v>
      </c>
      <c r="D222" t="b" cm="1">
        <f t="array" ref="D222">ROUND(INDEX(FinancialData[ [ Sales] ],A222)-INDEX(FinancialData[COGS],A222),2)=ROUND(INDEX(FinancialData[Profit],A222),2)</f>
        <v>1</v>
      </c>
    </row>
    <row r="223" spans="1:4" x14ac:dyDescent="0.3">
      <c r="A223">
        <v>222</v>
      </c>
      <c r="B223" t="b">
        <f>ROUND(INDEX(FinancialData[Units Sold],1)*INDEX(FinancialData[Sale Price],1),2)=ROUND(INDEX(FinancialData[Gross Sales],1),2)</f>
        <v>1</v>
      </c>
      <c r="C223" s="12" t="b" cm="1">
        <f t="array" ref="C223">ROUND(INDEX(FinancialData[Gross Sales],A223)-INDEX(FinancialData[Discounts],A223),2)=ROUND(INDEX(FinancialData[ [ Sales] ],A223),2)</f>
        <v>1</v>
      </c>
      <c r="D223" t="b" cm="1">
        <f t="array" ref="D223">ROUND(INDEX(FinancialData[ [ Sales] ],A223)-INDEX(FinancialData[COGS],A223),2)=ROUND(INDEX(FinancialData[Profit],A223),2)</f>
        <v>1</v>
      </c>
    </row>
    <row r="224" spans="1:4" x14ac:dyDescent="0.3">
      <c r="A224">
        <v>223</v>
      </c>
      <c r="B224" t="b">
        <f>ROUND(INDEX(FinancialData[Units Sold],1)*INDEX(FinancialData[Sale Price],1),2)=ROUND(INDEX(FinancialData[Gross Sales],1),2)</f>
        <v>1</v>
      </c>
      <c r="C224" s="12" t="b" cm="1">
        <f t="array" ref="C224">ROUND(INDEX(FinancialData[Gross Sales],A224)-INDEX(FinancialData[Discounts],A224),2)=ROUND(INDEX(FinancialData[ [ Sales] ],A224),2)</f>
        <v>1</v>
      </c>
      <c r="D224" t="b" cm="1">
        <f t="array" ref="D224">ROUND(INDEX(FinancialData[ [ Sales] ],A224)-INDEX(FinancialData[COGS],A224),2)=ROUND(INDEX(FinancialData[Profit],A224),2)</f>
        <v>1</v>
      </c>
    </row>
    <row r="225" spans="1:4" x14ac:dyDescent="0.3">
      <c r="A225">
        <v>224</v>
      </c>
      <c r="B225" t="b">
        <f>ROUND(INDEX(FinancialData[Units Sold],1)*INDEX(FinancialData[Sale Price],1),2)=ROUND(INDEX(FinancialData[Gross Sales],1),2)</f>
        <v>1</v>
      </c>
      <c r="C225" s="12" t="b" cm="1">
        <f t="array" ref="C225">ROUND(INDEX(FinancialData[Gross Sales],A225)-INDEX(FinancialData[Discounts],A225),2)=ROUND(INDEX(FinancialData[ [ Sales] ],A225),2)</f>
        <v>1</v>
      </c>
      <c r="D225" t="b" cm="1">
        <f t="array" ref="D225">ROUND(INDEX(FinancialData[ [ Sales] ],A225)-INDEX(FinancialData[COGS],A225),2)=ROUND(INDEX(FinancialData[Profit],A225),2)</f>
        <v>1</v>
      </c>
    </row>
    <row r="226" spans="1:4" x14ac:dyDescent="0.3">
      <c r="A226">
        <v>225</v>
      </c>
      <c r="B226" t="b">
        <f>ROUND(INDEX(FinancialData[Units Sold],1)*INDEX(FinancialData[Sale Price],1),2)=ROUND(INDEX(FinancialData[Gross Sales],1),2)</f>
        <v>1</v>
      </c>
      <c r="C226" s="12" t="b" cm="1">
        <f t="array" ref="C226">ROUND(INDEX(FinancialData[Gross Sales],A226)-INDEX(FinancialData[Discounts],A226),2)=ROUND(INDEX(FinancialData[ [ Sales] ],A226),2)</f>
        <v>1</v>
      </c>
      <c r="D226" t="b" cm="1">
        <f t="array" ref="D226">ROUND(INDEX(FinancialData[ [ Sales] ],A226)-INDEX(FinancialData[COGS],A226),2)=ROUND(INDEX(FinancialData[Profit],A226),2)</f>
        <v>1</v>
      </c>
    </row>
    <row r="227" spans="1:4" x14ac:dyDescent="0.3">
      <c r="A227">
        <v>226</v>
      </c>
      <c r="B227" t="b">
        <f>ROUND(INDEX(FinancialData[Units Sold],1)*INDEX(FinancialData[Sale Price],1),2)=ROUND(INDEX(FinancialData[Gross Sales],1),2)</f>
        <v>1</v>
      </c>
      <c r="C227" s="12" t="b" cm="1">
        <f t="array" ref="C227">ROUND(INDEX(FinancialData[Gross Sales],A227)-INDEX(FinancialData[Discounts],A227),2)=ROUND(INDEX(FinancialData[ [ Sales] ],A227),2)</f>
        <v>1</v>
      </c>
      <c r="D227" t="b" cm="1">
        <f t="array" ref="D227">ROUND(INDEX(FinancialData[ [ Sales] ],A227)-INDEX(FinancialData[COGS],A227),2)=ROUND(INDEX(FinancialData[Profit],A227),2)</f>
        <v>1</v>
      </c>
    </row>
    <row r="228" spans="1:4" x14ac:dyDescent="0.3">
      <c r="A228">
        <v>227</v>
      </c>
      <c r="B228" t="b">
        <f>ROUND(INDEX(FinancialData[Units Sold],1)*INDEX(FinancialData[Sale Price],1),2)=ROUND(INDEX(FinancialData[Gross Sales],1),2)</f>
        <v>1</v>
      </c>
      <c r="C228" s="12" t="b" cm="1">
        <f t="array" ref="C228">ROUND(INDEX(FinancialData[Gross Sales],A228)-INDEX(FinancialData[Discounts],A228),2)=ROUND(INDEX(FinancialData[ [ Sales] ],A228),2)</f>
        <v>1</v>
      </c>
      <c r="D228" t="b" cm="1">
        <f t="array" ref="D228">ROUND(INDEX(FinancialData[ [ Sales] ],A228)-INDEX(FinancialData[COGS],A228),2)=ROUND(INDEX(FinancialData[Profit],A228),2)</f>
        <v>1</v>
      </c>
    </row>
    <row r="229" spans="1:4" x14ac:dyDescent="0.3">
      <c r="A229">
        <v>228</v>
      </c>
      <c r="B229" t="b">
        <f>ROUND(INDEX(FinancialData[Units Sold],1)*INDEX(FinancialData[Sale Price],1),2)=ROUND(INDEX(FinancialData[Gross Sales],1),2)</f>
        <v>1</v>
      </c>
      <c r="C229" s="12" t="b" cm="1">
        <f t="array" ref="C229">ROUND(INDEX(FinancialData[Gross Sales],A229)-INDEX(FinancialData[Discounts],A229),2)=ROUND(INDEX(FinancialData[ [ Sales] ],A229),2)</f>
        <v>1</v>
      </c>
      <c r="D229" t="b" cm="1">
        <f t="array" ref="D229">ROUND(INDEX(FinancialData[ [ Sales] ],A229)-INDEX(FinancialData[COGS],A229),2)=ROUND(INDEX(FinancialData[Profit],A229),2)</f>
        <v>1</v>
      </c>
    </row>
    <row r="230" spans="1:4" x14ac:dyDescent="0.3">
      <c r="A230">
        <v>229</v>
      </c>
      <c r="B230" t="b">
        <f>ROUND(INDEX(FinancialData[Units Sold],1)*INDEX(FinancialData[Sale Price],1),2)=ROUND(INDEX(FinancialData[Gross Sales],1),2)</f>
        <v>1</v>
      </c>
      <c r="C230" s="12" t="b" cm="1">
        <f t="array" ref="C230">ROUND(INDEX(FinancialData[Gross Sales],A230)-INDEX(FinancialData[Discounts],A230),2)=ROUND(INDEX(FinancialData[ [ Sales] ],A230),2)</f>
        <v>1</v>
      </c>
      <c r="D230" t="b" cm="1">
        <f t="array" ref="D230">ROUND(INDEX(FinancialData[ [ Sales] ],A230)-INDEX(FinancialData[COGS],A230),2)=ROUND(INDEX(FinancialData[Profit],A230),2)</f>
        <v>1</v>
      </c>
    </row>
    <row r="231" spans="1:4" x14ac:dyDescent="0.3">
      <c r="A231">
        <v>230</v>
      </c>
      <c r="B231" t="b">
        <f>ROUND(INDEX(FinancialData[Units Sold],1)*INDEX(FinancialData[Sale Price],1),2)=ROUND(INDEX(FinancialData[Gross Sales],1),2)</f>
        <v>1</v>
      </c>
      <c r="C231" s="12" t="b" cm="1">
        <f t="array" ref="C231">ROUND(INDEX(FinancialData[Gross Sales],A231)-INDEX(FinancialData[Discounts],A231),2)=ROUND(INDEX(FinancialData[ [ Sales] ],A231),2)</f>
        <v>1</v>
      </c>
      <c r="D231" t="b" cm="1">
        <f t="array" ref="D231">ROUND(INDEX(FinancialData[ [ Sales] ],A231)-INDEX(FinancialData[COGS],A231),2)=ROUND(INDEX(FinancialData[Profit],A231),2)</f>
        <v>1</v>
      </c>
    </row>
    <row r="232" spans="1:4" x14ac:dyDescent="0.3">
      <c r="A232">
        <v>231</v>
      </c>
      <c r="B232" t="b">
        <f>ROUND(INDEX(FinancialData[Units Sold],1)*INDEX(FinancialData[Sale Price],1),2)=ROUND(INDEX(FinancialData[Gross Sales],1),2)</f>
        <v>1</v>
      </c>
      <c r="C232" s="12" t="b" cm="1">
        <f t="array" ref="C232">ROUND(INDEX(FinancialData[Gross Sales],A232)-INDEX(FinancialData[Discounts],A232),2)=ROUND(INDEX(FinancialData[ [ Sales] ],A232),2)</f>
        <v>1</v>
      </c>
      <c r="D232" t="b" cm="1">
        <f t="array" ref="D232">ROUND(INDEX(FinancialData[ [ Sales] ],A232)-INDEX(FinancialData[COGS],A232),2)=ROUND(INDEX(FinancialData[Profit],A232),2)</f>
        <v>1</v>
      </c>
    </row>
    <row r="233" spans="1:4" x14ac:dyDescent="0.3">
      <c r="A233">
        <v>232</v>
      </c>
      <c r="B233" t="b">
        <f>ROUND(INDEX(FinancialData[Units Sold],1)*INDEX(FinancialData[Sale Price],1),2)=ROUND(INDEX(FinancialData[Gross Sales],1),2)</f>
        <v>1</v>
      </c>
      <c r="C233" s="12" t="b" cm="1">
        <f t="array" ref="C233">ROUND(INDEX(FinancialData[Gross Sales],A233)-INDEX(FinancialData[Discounts],A233),2)=ROUND(INDEX(FinancialData[ [ Sales] ],A233),2)</f>
        <v>1</v>
      </c>
      <c r="D233" t="b" cm="1">
        <f t="array" ref="D233">ROUND(INDEX(FinancialData[ [ Sales] ],A233)-INDEX(FinancialData[COGS],A233),2)=ROUND(INDEX(FinancialData[Profit],A233),2)</f>
        <v>1</v>
      </c>
    </row>
    <row r="234" spans="1:4" x14ac:dyDescent="0.3">
      <c r="A234">
        <v>233</v>
      </c>
      <c r="B234" t="b">
        <f>ROUND(INDEX(FinancialData[Units Sold],1)*INDEX(FinancialData[Sale Price],1),2)=ROUND(INDEX(FinancialData[Gross Sales],1),2)</f>
        <v>1</v>
      </c>
      <c r="C234" s="12" t="b" cm="1">
        <f t="array" ref="C234">ROUND(INDEX(FinancialData[Gross Sales],A234)-INDEX(FinancialData[Discounts],A234),2)=ROUND(INDEX(FinancialData[ [ Sales] ],A234),2)</f>
        <v>1</v>
      </c>
      <c r="D234" t="b" cm="1">
        <f t="array" ref="D234">ROUND(INDEX(FinancialData[ [ Sales] ],A234)-INDEX(FinancialData[COGS],A234),2)=ROUND(INDEX(FinancialData[Profit],A234),2)</f>
        <v>1</v>
      </c>
    </row>
    <row r="235" spans="1:4" x14ac:dyDescent="0.3">
      <c r="A235">
        <v>234</v>
      </c>
      <c r="B235" t="b">
        <f>ROUND(INDEX(FinancialData[Units Sold],1)*INDEX(FinancialData[Sale Price],1),2)=ROUND(INDEX(FinancialData[Gross Sales],1),2)</f>
        <v>1</v>
      </c>
      <c r="C235" s="12" t="b" cm="1">
        <f t="array" ref="C235">ROUND(INDEX(FinancialData[Gross Sales],A235)-INDEX(FinancialData[Discounts],A235),2)=ROUND(INDEX(FinancialData[ [ Sales] ],A235),2)</f>
        <v>1</v>
      </c>
      <c r="D235" t="b" cm="1">
        <f t="array" ref="D235">ROUND(INDEX(FinancialData[ [ Sales] ],A235)-INDEX(FinancialData[COGS],A235),2)=ROUND(INDEX(FinancialData[Profit],A235),2)</f>
        <v>1</v>
      </c>
    </row>
    <row r="236" spans="1:4" x14ac:dyDescent="0.3">
      <c r="A236">
        <v>235</v>
      </c>
      <c r="B236" t="b">
        <f>ROUND(INDEX(FinancialData[Units Sold],1)*INDEX(FinancialData[Sale Price],1),2)=ROUND(INDEX(FinancialData[Gross Sales],1),2)</f>
        <v>1</v>
      </c>
      <c r="C236" s="12" t="b" cm="1">
        <f t="array" ref="C236">ROUND(INDEX(FinancialData[Gross Sales],A236)-INDEX(FinancialData[Discounts],A236),2)=ROUND(INDEX(FinancialData[ [ Sales] ],A236),2)</f>
        <v>1</v>
      </c>
      <c r="D236" t="b" cm="1">
        <f t="array" ref="D236">ROUND(INDEX(FinancialData[ [ Sales] ],A236)-INDEX(FinancialData[COGS],A236),2)=ROUND(INDEX(FinancialData[Profit],A236),2)</f>
        <v>1</v>
      </c>
    </row>
    <row r="237" spans="1:4" x14ac:dyDescent="0.3">
      <c r="A237">
        <v>236</v>
      </c>
      <c r="B237" t="b">
        <f>ROUND(INDEX(FinancialData[Units Sold],1)*INDEX(FinancialData[Sale Price],1),2)=ROUND(INDEX(FinancialData[Gross Sales],1),2)</f>
        <v>1</v>
      </c>
      <c r="C237" s="12" t="b" cm="1">
        <f t="array" ref="C237">ROUND(INDEX(FinancialData[Gross Sales],A237)-INDEX(FinancialData[Discounts],A237),2)=ROUND(INDEX(FinancialData[ [ Sales] ],A237),2)</f>
        <v>1</v>
      </c>
      <c r="D237" t="b" cm="1">
        <f t="array" ref="D237">ROUND(INDEX(FinancialData[ [ Sales] ],A237)-INDEX(FinancialData[COGS],A237),2)=ROUND(INDEX(FinancialData[Profit],A237),2)</f>
        <v>1</v>
      </c>
    </row>
    <row r="238" spans="1:4" x14ac:dyDescent="0.3">
      <c r="A238">
        <v>237</v>
      </c>
      <c r="B238" t="b">
        <f>ROUND(INDEX(FinancialData[Units Sold],1)*INDEX(FinancialData[Sale Price],1),2)=ROUND(INDEX(FinancialData[Gross Sales],1),2)</f>
        <v>1</v>
      </c>
      <c r="C238" s="12" t="b" cm="1">
        <f t="array" ref="C238">ROUND(INDEX(FinancialData[Gross Sales],A238)-INDEX(FinancialData[Discounts],A238),2)=ROUND(INDEX(FinancialData[ [ Sales] ],A238),2)</f>
        <v>1</v>
      </c>
      <c r="D238" t="b" cm="1">
        <f t="array" ref="D238">ROUND(INDEX(FinancialData[ [ Sales] ],A238)-INDEX(FinancialData[COGS],A238),2)=ROUND(INDEX(FinancialData[Profit],A238),2)</f>
        <v>1</v>
      </c>
    </row>
    <row r="239" spans="1:4" x14ac:dyDescent="0.3">
      <c r="A239">
        <v>238</v>
      </c>
      <c r="B239" t="b">
        <f>ROUND(INDEX(FinancialData[Units Sold],1)*INDEX(FinancialData[Sale Price],1),2)=ROUND(INDEX(FinancialData[Gross Sales],1),2)</f>
        <v>1</v>
      </c>
      <c r="C239" s="12" t="b" cm="1">
        <f t="array" ref="C239">ROUND(INDEX(FinancialData[Gross Sales],A239)-INDEX(FinancialData[Discounts],A239),2)=ROUND(INDEX(FinancialData[ [ Sales] ],A239),2)</f>
        <v>1</v>
      </c>
      <c r="D239" t="b" cm="1">
        <f t="array" ref="D239">ROUND(INDEX(FinancialData[ [ Sales] ],A239)-INDEX(FinancialData[COGS],A239),2)=ROUND(INDEX(FinancialData[Profit],A239),2)</f>
        <v>1</v>
      </c>
    </row>
    <row r="240" spans="1:4" x14ac:dyDescent="0.3">
      <c r="A240">
        <v>239</v>
      </c>
      <c r="B240" t="b">
        <f>ROUND(INDEX(FinancialData[Units Sold],1)*INDEX(FinancialData[Sale Price],1),2)=ROUND(INDEX(FinancialData[Gross Sales],1),2)</f>
        <v>1</v>
      </c>
      <c r="C240" s="12" t="b" cm="1">
        <f t="array" ref="C240">ROUND(INDEX(FinancialData[Gross Sales],A240)-INDEX(FinancialData[Discounts],A240),2)=ROUND(INDEX(FinancialData[ [ Sales] ],A240),2)</f>
        <v>1</v>
      </c>
      <c r="D240" t="b" cm="1">
        <f t="array" ref="D240">ROUND(INDEX(FinancialData[ [ Sales] ],A240)-INDEX(FinancialData[COGS],A240),2)=ROUND(INDEX(FinancialData[Profit],A240),2)</f>
        <v>1</v>
      </c>
    </row>
    <row r="241" spans="1:4" x14ac:dyDescent="0.3">
      <c r="A241">
        <v>240</v>
      </c>
      <c r="B241" t="b">
        <f>ROUND(INDEX(FinancialData[Units Sold],1)*INDEX(FinancialData[Sale Price],1),2)=ROUND(INDEX(FinancialData[Gross Sales],1),2)</f>
        <v>1</v>
      </c>
      <c r="C241" s="12" t="b" cm="1">
        <f t="array" ref="C241">ROUND(INDEX(FinancialData[Gross Sales],A241)-INDEX(FinancialData[Discounts],A241),2)=ROUND(INDEX(FinancialData[ [ Sales] ],A241),2)</f>
        <v>1</v>
      </c>
      <c r="D241" t="b" cm="1">
        <f t="array" ref="D241">ROUND(INDEX(FinancialData[ [ Sales] ],A241)-INDEX(FinancialData[COGS],A241),2)=ROUND(INDEX(FinancialData[Profit],A241),2)</f>
        <v>1</v>
      </c>
    </row>
    <row r="242" spans="1:4" x14ac:dyDescent="0.3">
      <c r="A242">
        <v>241</v>
      </c>
      <c r="B242" t="b">
        <f>ROUND(INDEX(FinancialData[Units Sold],1)*INDEX(FinancialData[Sale Price],1),2)=ROUND(INDEX(FinancialData[Gross Sales],1),2)</f>
        <v>1</v>
      </c>
      <c r="C242" s="12" t="b" cm="1">
        <f t="array" ref="C242">ROUND(INDEX(FinancialData[Gross Sales],A242)-INDEX(FinancialData[Discounts],A242),2)=ROUND(INDEX(FinancialData[ [ Sales] ],A242),2)</f>
        <v>1</v>
      </c>
      <c r="D242" t="b" cm="1">
        <f t="array" ref="D242">ROUND(INDEX(FinancialData[ [ Sales] ],A242)-INDEX(FinancialData[COGS],A242),2)=ROUND(INDEX(FinancialData[Profit],A242),2)</f>
        <v>1</v>
      </c>
    </row>
    <row r="243" spans="1:4" x14ac:dyDescent="0.3">
      <c r="A243">
        <v>242</v>
      </c>
      <c r="B243" t="b">
        <f>ROUND(INDEX(FinancialData[Units Sold],1)*INDEX(FinancialData[Sale Price],1),2)=ROUND(INDEX(FinancialData[Gross Sales],1),2)</f>
        <v>1</v>
      </c>
      <c r="C243" s="12" t="b" cm="1">
        <f t="array" ref="C243">ROUND(INDEX(FinancialData[Gross Sales],A243)-INDEX(FinancialData[Discounts],A243),2)=ROUND(INDEX(FinancialData[ [ Sales] ],A243),2)</f>
        <v>1</v>
      </c>
      <c r="D243" t="b" cm="1">
        <f t="array" ref="D243">ROUND(INDEX(FinancialData[ [ Sales] ],A243)-INDEX(FinancialData[COGS],A243),2)=ROUND(INDEX(FinancialData[Profit],A243),2)</f>
        <v>1</v>
      </c>
    </row>
    <row r="244" spans="1:4" x14ac:dyDescent="0.3">
      <c r="A244">
        <v>243</v>
      </c>
      <c r="B244" t="b">
        <f>ROUND(INDEX(FinancialData[Units Sold],1)*INDEX(FinancialData[Sale Price],1),2)=ROUND(INDEX(FinancialData[Gross Sales],1),2)</f>
        <v>1</v>
      </c>
      <c r="C244" s="12" t="b" cm="1">
        <f t="array" ref="C244">ROUND(INDEX(FinancialData[Gross Sales],A244)-INDEX(FinancialData[Discounts],A244),2)=ROUND(INDEX(FinancialData[ [ Sales] ],A244),2)</f>
        <v>1</v>
      </c>
      <c r="D244" t="b" cm="1">
        <f t="array" ref="D244">ROUND(INDEX(FinancialData[ [ Sales] ],A244)-INDEX(FinancialData[COGS],A244),2)=ROUND(INDEX(FinancialData[Profit],A244),2)</f>
        <v>1</v>
      </c>
    </row>
    <row r="245" spans="1:4" x14ac:dyDescent="0.3">
      <c r="A245">
        <v>244</v>
      </c>
      <c r="B245" t="b">
        <f>ROUND(INDEX(FinancialData[Units Sold],1)*INDEX(FinancialData[Sale Price],1),2)=ROUND(INDEX(FinancialData[Gross Sales],1),2)</f>
        <v>1</v>
      </c>
      <c r="C245" s="12" t="b" cm="1">
        <f t="array" ref="C245">ROUND(INDEX(FinancialData[Gross Sales],A245)-INDEX(FinancialData[Discounts],A245),2)=ROUND(INDEX(FinancialData[ [ Sales] ],A245),2)</f>
        <v>1</v>
      </c>
      <c r="D245" t="b" cm="1">
        <f t="array" ref="D245">ROUND(INDEX(FinancialData[ [ Sales] ],A245)-INDEX(FinancialData[COGS],A245),2)=ROUND(INDEX(FinancialData[Profit],A245),2)</f>
        <v>1</v>
      </c>
    </row>
    <row r="246" spans="1:4" x14ac:dyDescent="0.3">
      <c r="A246">
        <v>245</v>
      </c>
      <c r="B246" t="b">
        <f>ROUND(INDEX(FinancialData[Units Sold],1)*INDEX(FinancialData[Sale Price],1),2)=ROUND(INDEX(FinancialData[Gross Sales],1),2)</f>
        <v>1</v>
      </c>
      <c r="C246" s="12" t="b" cm="1">
        <f t="array" ref="C246">ROUND(INDEX(FinancialData[Gross Sales],A246)-INDEX(FinancialData[Discounts],A246),2)=ROUND(INDEX(FinancialData[ [ Sales] ],A246),2)</f>
        <v>1</v>
      </c>
      <c r="D246" t="b" cm="1">
        <f t="array" ref="D246">ROUND(INDEX(FinancialData[ [ Sales] ],A246)-INDEX(FinancialData[COGS],A246),2)=ROUND(INDEX(FinancialData[Profit],A246),2)</f>
        <v>1</v>
      </c>
    </row>
    <row r="247" spans="1:4" x14ac:dyDescent="0.3">
      <c r="A247">
        <v>246</v>
      </c>
      <c r="B247" t="b">
        <f>ROUND(INDEX(FinancialData[Units Sold],1)*INDEX(FinancialData[Sale Price],1),2)=ROUND(INDEX(FinancialData[Gross Sales],1),2)</f>
        <v>1</v>
      </c>
      <c r="C247" s="12" t="b" cm="1">
        <f t="array" ref="C247">ROUND(INDEX(FinancialData[Gross Sales],A247)-INDEX(FinancialData[Discounts],A247),2)=ROUND(INDEX(FinancialData[ [ Sales] ],A247),2)</f>
        <v>1</v>
      </c>
      <c r="D247" t="b" cm="1">
        <f t="array" ref="D247">ROUND(INDEX(FinancialData[ [ Sales] ],A247)-INDEX(FinancialData[COGS],A247),2)=ROUND(INDEX(FinancialData[Profit],A247),2)</f>
        <v>1</v>
      </c>
    </row>
    <row r="248" spans="1:4" x14ac:dyDescent="0.3">
      <c r="A248">
        <v>247</v>
      </c>
      <c r="B248" t="b">
        <f>ROUND(INDEX(FinancialData[Units Sold],1)*INDEX(FinancialData[Sale Price],1),2)=ROUND(INDEX(FinancialData[Gross Sales],1),2)</f>
        <v>1</v>
      </c>
      <c r="C248" s="12" t="b" cm="1">
        <f t="array" ref="C248">ROUND(INDEX(FinancialData[Gross Sales],A248)-INDEX(FinancialData[Discounts],A248),2)=ROUND(INDEX(FinancialData[ [ Sales] ],A248),2)</f>
        <v>1</v>
      </c>
      <c r="D248" t="b" cm="1">
        <f t="array" ref="D248">ROUND(INDEX(FinancialData[ [ Sales] ],A248)-INDEX(FinancialData[COGS],A248),2)=ROUND(INDEX(FinancialData[Profit],A248),2)</f>
        <v>1</v>
      </c>
    </row>
    <row r="249" spans="1:4" x14ac:dyDescent="0.3">
      <c r="A249">
        <v>248</v>
      </c>
      <c r="B249" t="b">
        <f>ROUND(INDEX(FinancialData[Units Sold],1)*INDEX(FinancialData[Sale Price],1),2)=ROUND(INDEX(FinancialData[Gross Sales],1),2)</f>
        <v>1</v>
      </c>
      <c r="C249" s="12" t="b" cm="1">
        <f t="array" ref="C249">ROUND(INDEX(FinancialData[Gross Sales],A249)-INDEX(FinancialData[Discounts],A249),2)=ROUND(INDEX(FinancialData[ [ Sales] ],A249),2)</f>
        <v>1</v>
      </c>
      <c r="D249" t="b" cm="1">
        <f t="array" ref="D249">ROUND(INDEX(FinancialData[ [ Sales] ],A249)-INDEX(FinancialData[COGS],A249),2)=ROUND(INDEX(FinancialData[Profit],A249),2)</f>
        <v>1</v>
      </c>
    </row>
    <row r="250" spans="1:4" x14ac:dyDescent="0.3">
      <c r="A250">
        <v>249</v>
      </c>
      <c r="B250" t="b">
        <f>ROUND(INDEX(FinancialData[Units Sold],1)*INDEX(FinancialData[Sale Price],1),2)=ROUND(INDEX(FinancialData[Gross Sales],1),2)</f>
        <v>1</v>
      </c>
      <c r="C250" s="12" t="b" cm="1">
        <f t="array" ref="C250">ROUND(INDEX(FinancialData[Gross Sales],A250)-INDEX(FinancialData[Discounts],A250),2)=ROUND(INDEX(FinancialData[ [ Sales] ],A250),2)</f>
        <v>1</v>
      </c>
      <c r="D250" t="b" cm="1">
        <f t="array" ref="D250">ROUND(INDEX(FinancialData[ [ Sales] ],A250)-INDEX(FinancialData[COGS],A250),2)=ROUND(INDEX(FinancialData[Profit],A250),2)</f>
        <v>1</v>
      </c>
    </row>
    <row r="251" spans="1:4" x14ac:dyDescent="0.3">
      <c r="A251">
        <v>250</v>
      </c>
      <c r="B251" t="b">
        <f>ROUND(INDEX(FinancialData[Units Sold],1)*INDEX(FinancialData[Sale Price],1),2)=ROUND(INDEX(FinancialData[Gross Sales],1),2)</f>
        <v>1</v>
      </c>
      <c r="C251" s="12" t="b" cm="1">
        <f t="array" ref="C251">ROUND(INDEX(FinancialData[Gross Sales],A251)-INDEX(FinancialData[Discounts],A251),2)=ROUND(INDEX(FinancialData[ [ Sales] ],A251),2)</f>
        <v>1</v>
      </c>
      <c r="D251" t="b" cm="1">
        <f t="array" ref="D251">ROUND(INDEX(FinancialData[ [ Sales] ],A251)-INDEX(FinancialData[COGS],A251),2)=ROUND(INDEX(FinancialData[Profit],A251),2)</f>
        <v>1</v>
      </c>
    </row>
    <row r="252" spans="1:4" x14ac:dyDescent="0.3">
      <c r="A252">
        <v>251</v>
      </c>
      <c r="B252" t="b">
        <f>ROUND(INDEX(FinancialData[Units Sold],1)*INDEX(FinancialData[Sale Price],1),2)=ROUND(INDEX(FinancialData[Gross Sales],1),2)</f>
        <v>1</v>
      </c>
      <c r="C252" s="12" t="b" cm="1">
        <f t="array" ref="C252">ROUND(INDEX(FinancialData[Gross Sales],A252)-INDEX(FinancialData[Discounts],A252),2)=ROUND(INDEX(FinancialData[ [ Sales] ],A252),2)</f>
        <v>1</v>
      </c>
      <c r="D252" t="b" cm="1">
        <f t="array" ref="D252">ROUND(INDEX(FinancialData[ [ Sales] ],A252)-INDEX(FinancialData[COGS],A252),2)=ROUND(INDEX(FinancialData[Profit],A252),2)</f>
        <v>1</v>
      </c>
    </row>
    <row r="253" spans="1:4" x14ac:dyDescent="0.3">
      <c r="A253">
        <v>252</v>
      </c>
      <c r="B253" t="b">
        <f>ROUND(INDEX(FinancialData[Units Sold],1)*INDEX(FinancialData[Sale Price],1),2)=ROUND(INDEX(FinancialData[Gross Sales],1),2)</f>
        <v>1</v>
      </c>
      <c r="C253" s="12" t="b" cm="1">
        <f t="array" ref="C253">ROUND(INDEX(FinancialData[Gross Sales],A253)-INDEX(FinancialData[Discounts],A253),2)=ROUND(INDEX(FinancialData[ [ Sales] ],A253),2)</f>
        <v>1</v>
      </c>
      <c r="D253" t="b" cm="1">
        <f t="array" ref="D253">ROUND(INDEX(FinancialData[ [ Sales] ],A253)-INDEX(FinancialData[COGS],A253),2)=ROUND(INDEX(FinancialData[Profit],A253),2)</f>
        <v>1</v>
      </c>
    </row>
    <row r="254" spans="1:4" x14ac:dyDescent="0.3">
      <c r="A254">
        <v>253</v>
      </c>
      <c r="B254" t="b">
        <f>ROUND(INDEX(FinancialData[Units Sold],1)*INDEX(FinancialData[Sale Price],1),2)=ROUND(INDEX(FinancialData[Gross Sales],1),2)</f>
        <v>1</v>
      </c>
      <c r="C254" s="12" t="b" cm="1">
        <f t="array" ref="C254">ROUND(INDEX(FinancialData[Gross Sales],A254)-INDEX(FinancialData[Discounts],A254),2)=ROUND(INDEX(FinancialData[ [ Sales] ],A254),2)</f>
        <v>1</v>
      </c>
      <c r="D254" t="b" cm="1">
        <f t="array" ref="D254">ROUND(INDEX(FinancialData[ [ Sales] ],A254)-INDEX(FinancialData[COGS],A254),2)=ROUND(INDEX(FinancialData[Profit],A254),2)</f>
        <v>1</v>
      </c>
    </row>
    <row r="255" spans="1:4" x14ac:dyDescent="0.3">
      <c r="A255">
        <v>254</v>
      </c>
      <c r="B255" t="b">
        <f>ROUND(INDEX(FinancialData[Units Sold],1)*INDEX(FinancialData[Sale Price],1),2)=ROUND(INDEX(FinancialData[Gross Sales],1),2)</f>
        <v>1</v>
      </c>
      <c r="C255" s="12" t="b" cm="1">
        <f t="array" ref="C255">ROUND(INDEX(FinancialData[Gross Sales],A255)-INDEX(FinancialData[Discounts],A255),2)=ROUND(INDEX(FinancialData[ [ Sales] ],A255),2)</f>
        <v>1</v>
      </c>
      <c r="D255" t="b" cm="1">
        <f t="array" ref="D255">ROUND(INDEX(FinancialData[ [ Sales] ],A255)-INDEX(FinancialData[COGS],A255),2)=ROUND(INDEX(FinancialData[Profit],A255),2)</f>
        <v>1</v>
      </c>
    </row>
    <row r="256" spans="1:4" x14ac:dyDescent="0.3">
      <c r="A256">
        <v>255</v>
      </c>
      <c r="B256" t="b">
        <f>ROUND(INDEX(FinancialData[Units Sold],1)*INDEX(FinancialData[Sale Price],1),2)=ROUND(INDEX(FinancialData[Gross Sales],1),2)</f>
        <v>1</v>
      </c>
      <c r="C256" s="12" t="b" cm="1">
        <f t="array" ref="C256">ROUND(INDEX(FinancialData[Gross Sales],A256)-INDEX(FinancialData[Discounts],A256),2)=ROUND(INDEX(FinancialData[ [ Sales] ],A256),2)</f>
        <v>1</v>
      </c>
      <c r="D256" t="b" cm="1">
        <f t="array" ref="D256">ROUND(INDEX(FinancialData[ [ Sales] ],A256)-INDEX(FinancialData[COGS],A256),2)=ROUND(INDEX(FinancialData[Profit],A256),2)</f>
        <v>1</v>
      </c>
    </row>
    <row r="257" spans="1:4" x14ac:dyDescent="0.3">
      <c r="A257">
        <v>256</v>
      </c>
      <c r="B257" t="b">
        <f>ROUND(INDEX(FinancialData[Units Sold],1)*INDEX(FinancialData[Sale Price],1),2)=ROUND(INDEX(FinancialData[Gross Sales],1),2)</f>
        <v>1</v>
      </c>
      <c r="C257" s="12" t="b" cm="1">
        <f t="array" ref="C257">ROUND(INDEX(FinancialData[Gross Sales],A257)-INDEX(FinancialData[Discounts],A257),2)=ROUND(INDEX(FinancialData[ [ Sales] ],A257),2)</f>
        <v>1</v>
      </c>
      <c r="D257" t="b" cm="1">
        <f t="array" ref="D257">ROUND(INDEX(FinancialData[ [ Sales] ],A257)-INDEX(FinancialData[COGS],A257),2)=ROUND(INDEX(FinancialData[Profit],A257),2)</f>
        <v>1</v>
      </c>
    </row>
    <row r="258" spans="1:4" x14ac:dyDescent="0.3">
      <c r="A258">
        <v>257</v>
      </c>
      <c r="B258" t="b">
        <f>ROUND(INDEX(FinancialData[Units Sold],1)*INDEX(FinancialData[Sale Price],1),2)=ROUND(INDEX(FinancialData[Gross Sales],1),2)</f>
        <v>1</v>
      </c>
      <c r="C258" s="12" t="b" cm="1">
        <f t="array" ref="C258">ROUND(INDEX(FinancialData[Gross Sales],A258)-INDEX(FinancialData[Discounts],A258),2)=ROUND(INDEX(FinancialData[ [ Sales] ],A258),2)</f>
        <v>1</v>
      </c>
      <c r="D258" t="b" cm="1">
        <f t="array" ref="D258">ROUND(INDEX(FinancialData[ [ Sales] ],A258)-INDEX(FinancialData[COGS],A258),2)=ROUND(INDEX(FinancialData[Profit],A258),2)</f>
        <v>1</v>
      </c>
    </row>
    <row r="259" spans="1:4" x14ac:dyDescent="0.3">
      <c r="A259">
        <v>258</v>
      </c>
      <c r="B259" t="b">
        <f>ROUND(INDEX(FinancialData[Units Sold],1)*INDEX(FinancialData[Sale Price],1),2)=ROUND(INDEX(FinancialData[Gross Sales],1),2)</f>
        <v>1</v>
      </c>
      <c r="C259" s="12" t="b" cm="1">
        <f t="array" ref="C259">ROUND(INDEX(FinancialData[Gross Sales],A259)-INDEX(FinancialData[Discounts],A259),2)=ROUND(INDEX(FinancialData[ [ Sales] ],A259),2)</f>
        <v>1</v>
      </c>
      <c r="D259" t="b" cm="1">
        <f t="array" ref="D259">ROUND(INDEX(FinancialData[ [ Sales] ],A259)-INDEX(FinancialData[COGS],A259),2)=ROUND(INDEX(FinancialData[Profit],A259),2)</f>
        <v>1</v>
      </c>
    </row>
    <row r="260" spans="1:4" x14ac:dyDescent="0.3">
      <c r="A260">
        <v>259</v>
      </c>
      <c r="B260" t="b">
        <f>ROUND(INDEX(FinancialData[Units Sold],1)*INDEX(FinancialData[Sale Price],1),2)=ROUND(INDEX(FinancialData[Gross Sales],1),2)</f>
        <v>1</v>
      </c>
      <c r="C260" s="12" t="b" cm="1">
        <f t="array" ref="C260">ROUND(INDEX(FinancialData[Gross Sales],A260)-INDEX(FinancialData[Discounts],A260),2)=ROUND(INDEX(FinancialData[ [ Sales] ],A260),2)</f>
        <v>1</v>
      </c>
      <c r="D260" t="b" cm="1">
        <f t="array" ref="D260">ROUND(INDEX(FinancialData[ [ Sales] ],A260)-INDEX(FinancialData[COGS],A260),2)=ROUND(INDEX(FinancialData[Profit],A260),2)</f>
        <v>1</v>
      </c>
    </row>
    <row r="261" spans="1:4" x14ac:dyDescent="0.3">
      <c r="A261">
        <v>260</v>
      </c>
      <c r="B261" t="b">
        <f>ROUND(INDEX(FinancialData[Units Sold],1)*INDEX(FinancialData[Sale Price],1),2)=ROUND(INDEX(FinancialData[Gross Sales],1),2)</f>
        <v>1</v>
      </c>
      <c r="C261" s="12" t="b" cm="1">
        <f t="array" ref="C261">ROUND(INDEX(FinancialData[Gross Sales],A261)-INDEX(FinancialData[Discounts],A261),2)=ROUND(INDEX(FinancialData[ [ Sales] ],A261),2)</f>
        <v>1</v>
      </c>
      <c r="D261" t="b" cm="1">
        <f t="array" ref="D261">ROUND(INDEX(FinancialData[ [ Sales] ],A261)-INDEX(FinancialData[COGS],A261),2)=ROUND(INDEX(FinancialData[Profit],A261),2)</f>
        <v>1</v>
      </c>
    </row>
    <row r="262" spans="1:4" x14ac:dyDescent="0.3">
      <c r="A262">
        <v>261</v>
      </c>
      <c r="B262" t="b">
        <f>ROUND(INDEX(FinancialData[Units Sold],1)*INDEX(FinancialData[Sale Price],1),2)=ROUND(INDEX(FinancialData[Gross Sales],1),2)</f>
        <v>1</v>
      </c>
      <c r="C262" s="12" t="b" cm="1">
        <f t="array" ref="C262">ROUND(INDEX(FinancialData[Gross Sales],A262)-INDEX(FinancialData[Discounts],A262),2)=ROUND(INDEX(FinancialData[ [ Sales] ],A262),2)</f>
        <v>1</v>
      </c>
      <c r="D262" t="b" cm="1">
        <f t="array" ref="D262">ROUND(INDEX(FinancialData[ [ Sales] ],A262)-INDEX(FinancialData[COGS],A262),2)=ROUND(INDEX(FinancialData[Profit],A262),2)</f>
        <v>1</v>
      </c>
    </row>
    <row r="263" spans="1:4" x14ac:dyDescent="0.3">
      <c r="A263">
        <v>262</v>
      </c>
      <c r="B263" t="b">
        <f>ROUND(INDEX(FinancialData[Units Sold],1)*INDEX(FinancialData[Sale Price],1),2)=ROUND(INDEX(FinancialData[Gross Sales],1),2)</f>
        <v>1</v>
      </c>
      <c r="C263" s="12" t="b" cm="1">
        <f t="array" ref="C263">ROUND(INDEX(FinancialData[Gross Sales],A263)-INDEX(FinancialData[Discounts],A263),2)=ROUND(INDEX(FinancialData[ [ Sales] ],A263),2)</f>
        <v>1</v>
      </c>
      <c r="D263" t="b" cm="1">
        <f t="array" ref="D263">ROUND(INDEX(FinancialData[ [ Sales] ],A263)-INDEX(FinancialData[COGS],A263),2)=ROUND(INDEX(FinancialData[Profit],A263),2)</f>
        <v>1</v>
      </c>
    </row>
    <row r="264" spans="1:4" x14ac:dyDescent="0.3">
      <c r="A264">
        <v>263</v>
      </c>
      <c r="B264" t="b">
        <f>ROUND(INDEX(FinancialData[Units Sold],1)*INDEX(FinancialData[Sale Price],1),2)=ROUND(INDEX(FinancialData[Gross Sales],1),2)</f>
        <v>1</v>
      </c>
      <c r="C264" s="12" t="b" cm="1">
        <f t="array" ref="C264">ROUND(INDEX(FinancialData[Gross Sales],A264)-INDEX(FinancialData[Discounts],A264),2)=ROUND(INDEX(FinancialData[ [ Sales] ],A264),2)</f>
        <v>1</v>
      </c>
      <c r="D264" t="b" cm="1">
        <f t="array" ref="D264">ROUND(INDEX(FinancialData[ [ Sales] ],A264)-INDEX(FinancialData[COGS],A264),2)=ROUND(INDEX(FinancialData[Profit],A264),2)</f>
        <v>1</v>
      </c>
    </row>
    <row r="265" spans="1:4" x14ac:dyDescent="0.3">
      <c r="A265">
        <v>264</v>
      </c>
      <c r="B265" t="b">
        <f>ROUND(INDEX(FinancialData[Units Sold],1)*INDEX(FinancialData[Sale Price],1),2)=ROUND(INDEX(FinancialData[Gross Sales],1),2)</f>
        <v>1</v>
      </c>
      <c r="C265" s="12" t="b" cm="1">
        <f t="array" ref="C265">ROUND(INDEX(FinancialData[Gross Sales],A265)-INDEX(FinancialData[Discounts],A265),2)=ROUND(INDEX(FinancialData[ [ Sales] ],A265),2)</f>
        <v>1</v>
      </c>
      <c r="D265" t="b" cm="1">
        <f t="array" ref="D265">ROUND(INDEX(FinancialData[ [ Sales] ],A265)-INDEX(FinancialData[COGS],A265),2)=ROUND(INDEX(FinancialData[Profit],A265),2)</f>
        <v>1</v>
      </c>
    </row>
    <row r="266" spans="1:4" x14ac:dyDescent="0.3">
      <c r="A266">
        <v>265</v>
      </c>
      <c r="B266" t="b">
        <f>ROUND(INDEX(FinancialData[Units Sold],1)*INDEX(FinancialData[Sale Price],1),2)=ROUND(INDEX(FinancialData[Gross Sales],1),2)</f>
        <v>1</v>
      </c>
      <c r="C266" s="12" t="b" cm="1">
        <f t="array" ref="C266">ROUND(INDEX(FinancialData[Gross Sales],A266)-INDEX(FinancialData[Discounts],A266),2)=ROUND(INDEX(FinancialData[ [ Sales] ],A266),2)</f>
        <v>1</v>
      </c>
      <c r="D266" t="b" cm="1">
        <f t="array" ref="D266">ROUND(INDEX(FinancialData[ [ Sales] ],A266)-INDEX(FinancialData[COGS],A266),2)=ROUND(INDEX(FinancialData[Profit],A266),2)</f>
        <v>1</v>
      </c>
    </row>
    <row r="267" spans="1:4" x14ac:dyDescent="0.3">
      <c r="A267">
        <v>266</v>
      </c>
      <c r="B267" t="b">
        <f>ROUND(INDEX(FinancialData[Units Sold],1)*INDEX(FinancialData[Sale Price],1),2)=ROUND(INDEX(FinancialData[Gross Sales],1),2)</f>
        <v>1</v>
      </c>
      <c r="C267" s="12" t="b" cm="1">
        <f t="array" ref="C267">ROUND(INDEX(FinancialData[Gross Sales],A267)-INDEX(FinancialData[Discounts],A267),2)=ROUND(INDEX(FinancialData[ [ Sales] ],A267),2)</f>
        <v>1</v>
      </c>
      <c r="D267" t="b" cm="1">
        <f t="array" ref="D267">ROUND(INDEX(FinancialData[ [ Sales] ],A267)-INDEX(FinancialData[COGS],A267),2)=ROUND(INDEX(FinancialData[Profit],A267),2)</f>
        <v>1</v>
      </c>
    </row>
    <row r="268" spans="1:4" x14ac:dyDescent="0.3">
      <c r="A268">
        <v>267</v>
      </c>
      <c r="B268" t="b">
        <f>ROUND(INDEX(FinancialData[Units Sold],1)*INDEX(FinancialData[Sale Price],1),2)=ROUND(INDEX(FinancialData[Gross Sales],1),2)</f>
        <v>1</v>
      </c>
      <c r="C268" s="12" t="b" cm="1">
        <f t="array" ref="C268">ROUND(INDEX(FinancialData[Gross Sales],A268)-INDEX(FinancialData[Discounts],A268),2)=ROUND(INDEX(FinancialData[ [ Sales] ],A268),2)</f>
        <v>1</v>
      </c>
      <c r="D268" t="b" cm="1">
        <f t="array" ref="D268">ROUND(INDEX(FinancialData[ [ Sales] ],A268)-INDEX(FinancialData[COGS],A268),2)=ROUND(INDEX(FinancialData[Profit],A268),2)</f>
        <v>1</v>
      </c>
    </row>
    <row r="269" spans="1:4" x14ac:dyDescent="0.3">
      <c r="A269">
        <v>268</v>
      </c>
      <c r="B269" t="b">
        <f>ROUND(INDEX(FinancialData[Units Sold],1)*INDEX(FinancialData[Sale Price],1),2)=ROUND(INDEX(FinancialData[Gross Sales],1),2)</f>
        <v>1</v>
      </c>
      <c r="C269" s="12" t="b" cm="1">
        <f t="array" ref="C269">ROUND(INDEX(FinancialData[Gross Sales],A269)-INDEX(FinancialData[Discounts],A269),2)=ROUND(INDEX(FinancialData[ [ Sales] ],A269),2)</f>
        <v>1</v>
      </c>
      <c r="D269" t="b" cm="1">
        <f t="array" ref="D269">ROUND(INDEX(FinancialData[ [ Sales] ],A269)-INDEX(FinancialData[COGS],A269),2)=ROUND(INDEX(FinancialData[Profit],A269),2)</f>
        <v>1</v>
      </c>
    </row>
    <row r="270" spans="1:4" x14ac:dyDescent="0.3">
      <c r="A270">
        <v>269</v>
      </c>
      <c r="B270" t="b">
        <f>ROUND(INDEX(FinancialData[Units Sold],1)*INDEX(FinancialData[Sale Price],1),2)=ROUND(INDEX(FinancialData[Gross Sales],1),2)</f>
        <v>1</v>
      </c>
      <c r="C270" s="12" t="b" cm="1">
        <f t="array" ref="C270">ROUND(INDEX(FinancialData[Gross Sales],A270)-INDEX(FinancialData[Discounts],A270),2)=ROUND(INDEX(FinancialData[ [ Sales] ],A270),2)</f>
        <v>1</v>
      </c>
      <c r="D270" t="b" cm="1">
        <f t="array" ref="D270">ROUND(INDEX(FinancialData[ [ Sales] ],A270)-INDEX(FinancialData[COGS],A270),2)=ROUND(INDEX(FinancialData[Profit],A270),2)</f>
        <v>1</v>
      </c>
    </row>
    <row r="271" spans="1:4" x14ac:dyDescent="0.3">
      <c r="A271">
        <v>270</v>
      </c>
      <c r="B271" t="b">
        <f>ROUND(INDEX(FinancialData[Units Sold],1)*INDEX(FinancialData[Sale Price],1),2)=ROUND(INDEX(FinancialData[Gross Sales],1),2)</f>
        <v>1</v>
      </c>
      <c r="C271" s="12" t="b" cm="1">
        <f t="array" ref="C271">ROUND(INDEX(FinancialData[Gross Sales],A271)-INDEX(FinancialData[Discounts],A271),2)=ROUND(INDEX(FinancialData[ [ Sales] ],A271),2)</f>
        <v>1</v>
      </c>
      <c r="D271" t="b" cm="1">
        <f t="array" ref="D271">ROUND(INDEX(FinancialData[ [ Sales] ],A271)-INDEX(FinancialData[COGS],A271),2)=ROUND(INDEX(FinancialData[Profit],A271),2)</f>
        <v>1</v>
      </c>
    </row>
    <row r="272" spans="1:4" x14ac:dyDescent="0.3">
      <c r="A272">
        <v>271</v>
      </c>
      <c r="B272" t="b">
        <f>ROUND(INDEX(FinancialData[Units Sold],1)*INDEX(FinancialData[Sale Price],1),2)=ROUND(INDEX(FinancialData[Gross Sales],1),2)</f>
        <v>1</v>
      </c>
      <c r="C272" s="12" t="b" cm="1">
        <f t="array" ref="C272">ROUND(INDEX(FinancialData[Gross Sales],A272)-INDEX(FinancialData[Discounts],A272),2)=ROUND(INDEX(FinancialData[ [ Sales] ],A272),2)</f>
        <v>1</v>
      </c>
      <c r="D272" t="b" cm="1">
        <f t="array" ref="D272">ROUND(INDEX(FinancialData[ [ Sales] ],A272)-INDEX(FinancialData[COGS],A272),2)=ROUND(INDEX(FinancialData[Profit],A272),2)</f>
        <v>1</v>
      </c>
    </row>
    <row r="273" spans="1:4" x14ac:dyDescent="0.3">
      <c r="A273">
        <v>272</v>
      </c>
      <c r="B273" t="b">
        <f>ROUND(INDEX(FinancialData[Units Sold],1)*INDEX(FinancialData[Sale Price],1),2)=ROUND(INDEX(FinancialData[Gross Sales],1),2)</f>
        <v>1</v>
      </c>
      <c r="C273" s="12" t="b" cm="1">
        <f t="array" ref="C273">ROUND(INDEX(FinancialData[Gross Sales],A273)-INDEX(FinancialData[Discounts],A273),2)=ROUND(INDEX(FinancialData[ [ Sales] ],A273),2)</f>
        <v>1</v>
      </c>
      <c r="D273" t="b" cm="1">
        <f t="array" ref="D273">ROUND(INDEX(FinancialData[ [ Sales] ],A273)-INDEX(FinancialData[COGS],A273),2)=ROUND(INDEX(FinancialData[Profit],A273),2)</f>
        <v>1</v>
      </c>
    </row>
    <row r="274" spans="1:4" x14ac:dyDescent="0.3">
      <c r="A274">
        <v>273</v>
      </c>
      <c r="B274" t="b">
        <f>ROUND(INDEX(FinancialData[Units Sold],1)*INDEX(FinancialData[Sale Price],1),2)=ROUND(INDEX(FinancialData[Gross Sales],1),2)</f>
        <v>1</v>
      </c>
      <c r="C274" s="12" t="b" cm="1">
        <f t="array" ref="C274">ROUND(INDEX(FinancialData[Gross Sales],A274)-INDEX(FinancialData[Discounts],A274),2)=ROUND(INDEX(FinancialData[ [ Sales] ],A274),2)</f>
        <v>1</v>
      </c>
      <c r="D274" t="b" cm="1">
        <f t="array" ref="D274">ROUND(INDEX(FinancialData[ [ Sales] ],A274)-INDEX(FinancialData[COGS],A274),2)=ROUND(INDEX(FinancialData[Profit],A274),2)</f>
        <v>1</v>
      </c>
    </row>
    <row r="275" spans="1:4" x14ac:dyDescent="0.3">
      <c r="A275">
        <v>274</v>
      </c>
      <c r="B275" t="b">
        <f>ROUND(INDEX(FinancialData[Units Sold],1)*INDEX(FinancialData[Sale Price],1),2)=ROUND(INDEX(FinancialData[Gross Sales],1),2)</f>
        <v>1</v>
      </c>
      <c r="C275" s="12" t="b" cm="1">
        <f t="array" ref="C275">ROUND(INDEX(FinancialData[Gross Sales],A275)-INDEX(FinancialData[Discounts],A275),2)=ROUND(INDEX(FinancialData[ [ Sales] ],A275),2)</f>
        <v>1</v>
      </c>
      <c r="D275" t="b" cm="1">
        <f t="array" ref="D275">ROUND(INDEX(FinancialData[ [ Sales] ],A275)-INDEX(FinancialData[COGS],A275),2)=ROUND(INDEX(FinancialData[Profit],A275),2)</f>
        <v>1</v>
      </c>
    </row>
    <row r="276" spans="1:4" x14ac:dyDescent="0.3">
      <c r="A276">
        <v>275</v>
      </c>
      <c r="B276" t="b">
        <f>ROUND(INDEX(FinancialData[Units Sold],1)*INDEX(FinancialData[Sale Price],1),2)=ROUND(INDEX(FinancialData[Gross Sales],1),2)</f>
        <v>1</v>
      </c>
      <c r="C276" s="12" t="b" cm="1">
        <f t="array" ref="C276">ROUND(INDEX(FinancialData[Gross Sales],A276)-INDEX(FinancialData[Discounts],A276),2)=ROUND(INDEX(FinancialData[ [ Sales] ],A276),2)</f>
        <v>1</v>
      </c>
      <c r="D276" t="b" cm="1">
        <f t="array" ref="D276">ROUND(INDEX(FinancialData[ [ Sales] ],A276)-INDEX(FinancialData[COGS],A276),2)=ROUND(INDEX(FinancialData[Profit],A276),2)</f>
        <v>1</v>
      </c>
    </row>
    <row r="277" spans="1:4" x14ac:dyDescent="0.3">
      <c r="A277">
        <v>276</v>
      </c>
      <c r="B277" t="b">
        <f>ROUND(INDEX(FinancialData[Units Sold],1)*INDEX(FinancialData[Sale Price],1),2)=ROUND(INDEX(FinancialData[Gross Sales],1),2)</f>
        <v>1</v>
      </c>
      <c r="C277" s="12" t="b" cm="1">
        <f t="array" ref="C277">ROUND(INDEX(FinancialData[Gross Sales],A277)-INDEX(FinancialData[Discounts],A277),2)=ROUND(INDEX(FinancialData[ [ Sales] ],A277),2)</f>
        <v>1</v>
      </c>
      <c r="D277" t="b" cm="1">
        <f t="array" ref="D277">ROUND(INDEX(FinancialData[ [ Sales] ],A277)-INDEX(FinancialData[COGS],A277),2)=ROUND(INDEX(FinancialData[Profit],A277),2)</f>
        <v>1</v>
      </c>
    </row>
    <row r="278" spans="1:4" x14ac:dyDescent="0.3">
      <c r="A278">
        <v>277</v>
      </c>
      <c r="B278" t="b">
        <f>ROUND(INDEX(FinancialData[Units Sold],1)*INDEX(FinancialData[Sale Price],1),2)=ROUND(INDEX(FinancialData[Gross Sales],1),2)</f>
        <v>1</v>
      </c>
      <c r="C278" s="12" t="b" cm="1">
        <f t="array" ref="C278">ROUND(INDEX(FinancialData[Gross Sales],A278)-INDEX(FinancialData[Discounts],A278),2)=ROUND(INDEX(FinancialData[ [ Sales] ],A278),2)</f>
        <v>1</v>
      </c>
      <c r="D278" t="b" cm="1">
        <f t="array" ref="D278">ROUND(INDEX(FinancialData[ [ Sales] ],A278)-INDEX(FinancialData[COGS],A278),2)=ROUND(INDEX(FinancialData[Profit],A278),2)</f>
        <v>1</v>
      </c>
    </row>
    <row r="279" spans="1:4" x14ac:dyDescent="0.3">
      <c r="A279">
        <v>278</v>
      </c>
      <c r="B279" t="b">
        <f>ROUND(INDEX(FinancialData[Units Sold],1)*INDEX(FinancialData[Sale Price],1),2)=ROUND(INDEX(FinancialData[Gross Sales],1),2)</f>
        <v>1</v>
      </c>
      <c r="C279" s="12" t="b" cm="1">
        <f t="array" ref="C279">ROUND(INDEX(FinancialData[Gross Sales],A279)-INDEX(FinancialData[Discounts],A279),2)=ROUND(INDEX(FinancialData[ [ Sales] ],A279),2)</f>
        <v>1</v>
      </c>
      <c r="D279" t="b" cm="1">
        <f t="array" ref="D279">ROUND(INDEX(FinancialData[ [ Sales] ],A279)-INDEX(FinancialData[COGS],A279),2)=ROUND(INDEX(FinancialData[Profit],A279),2)</f>
        <v>1</v>
      </c>
    </row>
    <row r="280" spans="1:4" x14ac:dyDescent="0.3">
      <c r="A280">
        <v>279</v>
      </c>
      <c r="B280" t="b">
        <f>ROUND(INDEX(FinancialData[Units Sold],1)*INDEX(FinancialData[Sale Price],1),2)=ROUND(INDEX(FinancialData[Gross Sales],1),2)</f>
        <v>1</v>
      </c>
      <c r="C280" s="12" t="b" cm="1">
        <f t="array" ref="C280">ROUND(INDEX(FinancialData[Gross Sales],A280)-INDEX(FinancialData[Discounts],A280),2)=ROUND(INDEX(FinancialData[ [ Sales] ],A280),2)</f>
        <v>1</v>
      </c>
      <c r="D280" t="b" cm="1">
        <f t="array" ref="D280">ROUND(INDEX(FinancialData[ [ Sales] ],A280)-INDEX(FinancialData[COGS],A280),2)=ROUND(INDEX(FinancialData[Profit],A280),2)</f>
        <v>1</v>
      </c>
    </row>
    <row r="281" spans="1:4" x14ac:dyDescent="0.3">
      <c r="A281">
        <v>280</v>
      </c>
      <c r="B281" t="b">
        <f>ROUND(INDEX(FinancialData[Units Sold],1)*INDEX(FinancialData[Sale Price],1),2)=ROUND(INDEX(FinancialData[Gross Sales],1),2)</f>
        <v>1</v>
      </c>
      <c r="C281" s="12" t="b" cm="1">
        <f t="array" ref="C281">ROUND(INDEX(FinancialData[Gross Sales],A281)-INDEX(FinancialData[Discounts],A281),2)=ROUND(INDEX(FinancialData[ [ Sales] ],A281),2)</f>
        <v>1</v>
      </c>
      <c r="D281" t="b" cm="1">
        <f t="array" ref="D281">ROUND(INDEX(FinancialData[ [ Sales] ],A281)-INDEX(FinancialData[COGS],A281),2)=ROUND(INDEX(FinancialData[Profit],A281),2)</f>
        <v>1</v>
      </c>
    </row>
    <row r="282" spans="1:4" x14ac:dyDescent="0.3">
      <c r="A282">
        <v>281</v>
      </c>
      <c r="B282" t="b">
        <f>ROUND(INDEX(FinancialData[Units Sold],1)*INDEX(FinancialData[Sale Price],1),2)=ROUND(INDEX(FinancialData[Gross Sales],1),2)</f>
        <v>1</v>
      </c>
      <c r="C282" s="12" t="b" cm="1">
        <f t="array" ref="C282">ROUND(INDEX(FinancialData[Gross Sales],A282)-INDEX(FinancialData[Discounts],A282),2)=ROUND(INDEX(FinancialData[ [ Sales] ],A282),2)</f>
        <v>1</v>
      </c>
      <c r="D282" t="b" cm="1">
        <f t="array" ref="D282">ROUND(INDEX(FinancialData[ [ Sales] ],A282)-INDEX(FinancialData[COGS],A282),2)=ROUND(INDEX(FinancialData[Profit],A282),2)</f>
        <v>1</v>
      </c>
    </row>
    <row r="283" spans="1:4" x14ac:dyDescent="0.3">
      <c r="A283">
        <v>282</v>
      </c>
      <c r="B283" t="b">
        <f>ROUND(INDEX(FinancialData[Units Sold],1)*INDEX(FinancialData[Sale Price],1),2)=ROUND(INDEX(FinancialData[Gross Sales],1),2)</f>
        <v>1</v>
      </c>
      <c r="C283" s="12" t="b" cm="1">
        <f t="array" ref="C283">ROUND(INDEX(FinancialData[Gross Sales],A283)-INDEX(FinancialData[Discounts],A283),2)=ROUND(INDEX(FinancialData[ [ Sales] ],A283),2)</f>
        <v>1</v>
      </c>
      <c r="D283" t="b" cm="1">
        <f t="array" ref="D283">ROUND(INDEX(FinancialData[ [ Sales] ],A283)-INDEX(FinancialData[COGS],A283),2)=ROUND(INDEX(FinancialData[Profit],A283),2)</f>
        <v>1</v>
      </c>
    </row>
    <row r="284" spans="1:4" x14ac:dyDescent="0.3">
      <c r="A284">
        <v>283</v>
      </c>
      <c r="B284" t="b">
        <f>ROUND(INDEX(FinancialData[Units Sold],1)*INDEX(FinancialData[Sale Price],1),2)=ROUND(INDEX(FinancialData[Gross Sales],1),2)</f>
        <v>1</v>
      </c>
      <c r="C284" s="12" t="b" cm="1">
        <f t="array" ref="C284">ROUND(INDEX(FinancialData[Gross Sales],A284)-INDEX(FinancialData[Discounts],A284),2)=ROUND(INDEX(FinancialData[ [ Sales] ],A284),2)</f>
        <v>1</v>
      </c>
      <c r="D284" t="b" cm="1">
        <f t="array" ref="D284">ROUND(INDEX(FinancialData[ [ Sales] ],A284)-INDEX(FinancialData[COGS],A284),2)=ROUND(INDEX(FinancialData[Profit],A284),2)</f>
        <v>1</v>
      </c>
    </row>
    <row r="285" spans="1:4" x14ac:dyDescent="0.3">
      <c r="A285">
        <v>284</v>
      </c>
      <c r="B285" t="b">
        <f>ROUND(INDEX(FinancialData[Units Sold],1)*INDEX(FinancialData[Sale Price],1),2)=ROUND(INDEX(FinancialData[Gross Sales],1),2)</f>
        <v>1</v>
      </c>
      <c r="C285" s="12" t="b" cm="1">
        <f t="array" ref="C285">ROUND(INDEX(FinancialData[Gross Sales],A285)-INDEX(FinancialData[Discounts],A285),2)=ROUND(INDEX(FinancialData[ [ Sales] ],A285),2)</f>
        <v>1</v>
      </c>
      <c r="D285" t="b" cm="1">
        <f t="array" ref="D285">ROUND(INDEX(FinancialData[ [ Sales] ],A285)-INDEX(FinancialData[COGS],A285),2)=ROUND(INDEX(FinancialData[Profit],A285),2)</f>
        <v>1</v>
      </c>
    </row>
    <row r="286" spans="1:4" x14ac:dyDescent="0.3">
      <c r="A286">
        <v>285</v>
      </c>
      <c r="B286" t="b">
        <f>ROUND(INDEX(FinancialData[Units Sold],1)*INDEX(FinancialData[Sale Price],1),2)=ROUND(INDEX(FinancialData[Gross Sales],1),2)</f>
        <v>1</v>
      </c>
      <c r="C286" s="12" t="b" cm="1">
        <f t="array" ref="C286">ROUND(INDEX(FinancialData[Gross Sales],A286)-INDEX(FinancialData[Discounts],A286),2)=ROUND(INDEX(FinancialData[ [ Sales] ],A286),2)</f>
        <v>1</v>
      </c>
      <c r="D286" t="b" cm="1">
        <f t="array" ref="D286">ROUND(INDEX(FinancialData[ [ Sales] ],A286)-INDEX(FinancialData[COGS],A286),2)=ROUND(INDEX(FinancialData[Profit],A286),2)</f>
        <v>1</v>
      </c>
    </row>
    <row r="287" spans="1:4" x14ac:dyDescent="0.3">
      <c r="A287">
        <v>286</v>
      </c>
      <c r="B287" t="b">
        <f>ROUND(INDEX(FinancialData[Units Sold],1)*INDEX(FinancialData[Sale Price],1),2)=ROUND(INDEX(FinancialData[Gross Sales],1),2)</f>
        <v>1</v>
      </c>
      <c r="C287" s="12" t="b" cm="1">
        <f t="array" ref="C287">ROUND(INDEX(FinancialData[Gross Sales],A287)-INDEX(FinancialData[Discounts],A287),2)=ROUND(INDEX(FinancialData[ [ Sales] ],A287),2)</f>
        <v>1</v>
      </c>
      <c r="D287" t="b" cm="1">
        <f t="array" ref="D287">ROUND(INDEX(FinancialData[ [ Sales] ],A287)-INDEX(FinancialData[COGS],A287),2)=ROUND(INDEX(FinancialData[Profit],A287),2)</f>
        <v>1</v>
      </c>
    </row>
    <row r="288" spans="1:4" x14ac:dyDescent="0.3">
      <c r="A288">
        <v>287</v>
      </c>
      <c r="B288" t="b">
        <f>ROUND(INDEX(FinancialData[Units Sold],1)*INDEX(FinancialData[Sale Price],1),2)=ROUND(INDEX(FinancialData[Gross Sales],1),2)</f>
        <v>1</v>
      </c>
      <c r="C288" s="12" t="b" cm="1">
        <f t="array" ref="C288">ROUND(INDEX(FinancialData[Gross Sales],A288)-INDEX(FinancialData[Discounts],A288),2)=ROUND(INDEX(FinancialData[ [ Sales] ],A288),2)</f>
        <v>1</v>
      </c>
      <c r="D288" t="b" cm="1">
        <f t="array" ref="D288">ROUND(INDEX(FinancialData[ [ Sales] ],A288)-INDEX(FinancialData[COGS],A288),2)=ROUND(INDEX(FinancialData[Profit],A288),2)</f>
        <v>1</v>
      </c>
    </row>
    <row r="289" spans="1:4" x14ac:dyDescent="0.3">
      <c r="A289">
        <v>288</v>
      </c>
      <c r="B289" t="b">
        <f>ROUND(INDEX(FinancialData[Units Sold],1)*INDEX(FinancialData[Sale Price],1),2)=ROUND(INDEX(FinancialData[Gross Sales],1),2)</f>
        <v>1</v>
      </c>
      <c r="C289" s="12" t="b" cm="1">
        <f t="array" ref="C289">ROUND(INDEX(FinancialData[Gross Sales],A289)-INDEX(FinancialData[Discounts],A289),2)=ROUND(INDEX(FinancialData[ [ Sales] ],A289),2)</f>
        <v>1</v>
      </c>
      <c r="D289" t="b" cm="1">
        <f t="array" ref="D289">ROUND(INDEX(FinancialData[ [ Sales] ],A289)-INDEX(FinancialData[COGS],A289),2)=ROUND(INDEX(FinancialData[Profit],A289),2)</f>
        <v>1</v>
      </c>
    </row>
    <row r="290" spans="1:4" x14ac:dyDescent="0.3">
      <c r="A290">
        <v>289</v>
      </c>
      <c r="B290" t="b">
        <f>ROUND(INDEX(FinancialData[Units Sold],1)*INDEX(FinancialData[Sale Price],1),2)=ROUND(INDEX(FinancialData[Gross Sales],1),2)</f>
        <v>1</v>
      </c>
      <c r="C290" s="12" t="b" cm="1">
        <f t="array" ref="C290">ROUND(INDEX(FinancialData[Gross Sales],A290)-INDEX(FinancialData[Discounts],A290),2)=ROUND(INDEX(FinancialData[ [ Sales] ],A290),2)</f>
        <v>1</v>
      </c>
      <c r="D290" t="b" cm="1">
        <f t="array" ref="D290">ROUND(INDEX(FinancialData[ [ Sales] ],A290)-INDEX(FinancialData[COGS],A290),2)=ROUND(INDEX(FinancialData[Profit],A290),2)</f>
        <v>1</v>
      </c>
    </row>
    <row r="291" spans="1:4" x14ac:dyDescent="0.3">
      <c r="A291">
        <v>290</v>
      </c>
      <c r="B291" t="b">
        <f>ROUND(INDEX(FinancialData[Units Sold],1)*INDEX(FinancialData[Sale Price],1),2)=ROUND(INDEX(FinancialData[Gross Sales],1),2)</f>
        <v>1</v>
      </c>
      <c r="C291" s="12" t="b" cm="1">
        <f t="array" ref="C291">ROUND(INDEX(FinancialData[Gross Sales],A291)-INDEX(FinancialData[Discounts],A291),2)=ROUND(INDEX(FinancialData[ [ Sales] ],A291),2)</f>
        <v>1</v>
      </c>
      <c r="D291" t="b" cm="1">
        <f t="array" ref="D291">ROUND(INDEX(FinancialData[ [ Sales] ],A291)-INDEX(FinancialData[COGS],A291),2)=ROUND(INDEX(FinancialData[Profit],A291),2)</f>
        <v>1</v>
      </c>
    </row>
    <row r="292" spans="1:4" x14ac:dyDescent="0.3">
      <c r="A292">
        <v>291</v>
      </c>
      <c r="B292" t="b">
        <f>ROUND(INDEX(FinancialData[Units Sold],1)*INDEX(FinancialData[Sale Price],1),2)=ROUND(INDEX(FinancialData[Gross Sales],1),2)</f>
        <v>1</v>
      </c>
      <c r="C292" s="12" t="b" cm="1">
        <f t="array" ref="C292">ROUND(INDEX(FinancialData[Gross Sales],A292)-INDEX(FinancialData[Discounts],A292),2)=ROUND(INDEX(FinancialData[ [ Sales] ],A292),2)</f>
        <v>1</v>
      </c>
      <c r="D292" t="b" cm="1">
        <f t="array" ref="D292">ROUND(INDEX(FinancialData[ [ Sales] ],A292)-INDEX(FinancialData[COGS],A292),2)=ROUND(INDEX(FinancialData[Profit],A292),2)</f>
        <v>1</v>
      </c>
    </row>
    <row r="293" spans="1:4" x14ac:dyDescent="0.3">
      <c r="A293">
        <v>292</v>
      </c>
      <c r="B293" t="b">
        <f>ROUND(INDEX(FinancialData[Units Sold],1)*INDEX(FinancialData[Sale Price],1),2)=ROUND(INDEX(FinancialData[Gross Sales],1),2)</f>
        <v>1</v>
      </c>
      <c r="C293" s="12" t="b" cm="1">
        <f t="array" ref="C293">ROUND(INDEX(FinancialData[Gross Sales],A293)-INDEX(FinancialData[Discounts],A293),2)=ROUND(INDEX(FinancialData[ [ Sales] ],A293),2)</f>
        <v>1</v>
      </c>
      <c r="D293" t="b" cm="1">
        <f t="array" ref="D293">ROUND(INDEX(FinancialData[ [ Sales] ],A293)-INDEX(FinancialData[COGS],A293),2)=ROUND(INDEX(FinancialData[Profit],A293),2)</f>
        <v>1</v>
      </c>
    </row>
    <row r="294" spans="1:4" x14ac:dyDescent="0.3">
      <c r="A294">
        <v>293</v>
      </c>
      <c r="B294" t="b">
        <f>ROUND(INDEX(FinancialData[Units Sold],1)*INDEX(FinancialData[Sale Price],1),2)=ROUND(INDEX(FinancialData[Gross Sales],1),2)</f>
        <v>1</v>
      </c>
      <c r="C294" s="12" t="b" cm="1">
        <f t="array" ref="C294">ROUND(INDEX(FinancialData[Gross Sales],A294)-INDEX(FinancialData[Discounts],A294),2)=ROUND(INDEX(FinancialData[ [ Sales] ],A294),2)</f>
        <v>1</v>
      </c>
      <c r="D294" t="b" cm="1">
        <f t="array" ref="D294">ROUND(INDEX(FinancialData[ [ Sales] ],A294)-INDEX(FinancialData[COGS],A294),2)=ROUND(INDEX(FinancialData[Profit],A294),2)</f>
        <v>1</v>
      </c>
    </row>
    <row r="295" spans="1:4" x14ac:dyDescent="0.3">
      <c r="A295">
        <v>294</v>
      </c>
      <c r="B295" t="b">
        <f>ROUND(INDEX(FinancialData[Units Sold],1)*INDEX(FinancialData[Sale Price],1),2)=ROUND(INDEX(FinancialData[Gross Sales],1),2)</f>
        <v>1</v>
      </c>
      <c r="C295" s="12" t="b" cm="1">
        <f t="array" ref="C295">ROUND(INDEX(FinancialData[Gross Sales],A295)-INDEX(FinancialData[Discounts],A295),2)=ROUND(INDEX(FinancialData[ [ Sales] ],A295),2)</f>
        <v>1</v>
      </c>
      <c r="D295" t="b" cm="1">
        <f t="array" ref="D295">ROUND(INDEX(FinancialData[ [ Sales] ],A295)-INDEX(FinancialData[COGS],A295),2)=ROUND(INDEX(FinancialData[Profit],A295),2)</f>
        <v>1</v>
      </c>
    </row>
    <row r="296" spans="1:4" x14ac:dyDescent="0.3">
      <c r="A296">
        <v>295</v>
      </c>
      <c r="B296" t="b">
        <f>ROUND(INDEX(FinancialData[Units Sold],1)*INDEX(FinancialData[Sale Price],1),2)=ROUND(INDEX(FinancialData[Gross Sales],1),2)</f>
        <v>1</v>
      </c>
      <c r="C296" s="12" t="b" cm="1">
        <f t="array" ref="C296">ROUND(INDEX(FinancialData[Gross Sales],A296)-INDEX(FinancialData[Discounts],A296),2)=ROUND(INDEX(FinancialData[ [ Sales] ],A296),2)</f>
        <v>1</v>
      </c>
      <c r="D296" t="b" cm="1">
        <f t="array" ref="D296">ROUND(INDEX(FinancialData[ [ Sales] ],A296)-INDEX(FinancialData[COGS],A296),2)=ROUND(INDEX(FinancialData[Profit],A296),2)</f>
        <v>1</v>
      </c>
    </row>
    <row r="297" spans="1:4" x14ac:dyDescent="0.3">
      <c r="A297">
        <v>296</v>
      </c>
      <c r="B297" t="b">
        <f>ROUND(INDEX(FinancialData[Units Sold],1)*INDEX(FinancialData[Sale Price],1),2)=ROUND(INDEX(FinancialData[Gross Sales],1),2)</f>
        <v>1</v>
      </c>
      <c r="C297" s="12" t="b" cm="1">
        <f t="array" ref="C297">ROUND(INDEX(FinancialData[Gross Sales],A297)-INDEX(FinancialData[Discounts],A297),2)=ROUND(INDEX(FinancialData[ [ Sales] ],A297),2)</f>
        <v>1</v>
      </c>
      <c r="D297" t="b" cm="1">
        <f t="array" ref="D297">ROUND(INDEX(FinancialData[ [ Sales] ],A297)-INDEX(FinancialData[COGS],A297),2)=ROUND(INDEX(FinancialData[Profit],A297),2)</f>
        <v>1</v>
      </c>
    </row>
    <row r="298" spans="1:4" x14ac:dyDescent="0.3">
      <c r="A298">
        <v>297</v>
      </c>
      <c r="B298" t="b">
        <f>ROUND(INDEX(FinancialData[Units Sold],1)*INDEX(FinancialData[Sale Price],1),2)=ROUND(INDEX(FinancialData[Gross Sales],1),2)</f>
        <v>1</v>
      </c>
      <c r="C298" s="12" t="b" cm="1">
        <f t="array" ref="C298">ROUND(INDEX(FinancialData[Gross Sales],A298)-INDEX(FinancialData[Discounts],A298),2)=ROUND(INDEX(FinancialData[ [ Sales] ],A298),2)</f>
        <v>1</v>
      </c>
      <c r="D298" t="b" cm="1">
        <f t="array" ref="D298">ROUND(INDEX(FinancialData[ [ Sales] ],A298)-INDEX(FinancialData[COGS],A298),2)=ROUND(INDEX(FinancialData[Profit],A298),2)</f>
        <v>1</v>
      </c>
    </row>
    <row r="299" spans="1:4" x14ac:dyDescent="0.3">
      <c r="A299">
        <v>298</v>
      </c>
      <c r="B299" t="b">
        <f>ROUND(INDEX(FinancialData[Units Sold],1)*INDEX(FinancialData[Sale Price],1),2)=ROUND(INDEX(FinancialData[Gross Sales],1),2)</f>
        <v>1</v>
      </c>
      <c r="C299" s="12" t="b" cm="1">
        <f t="array" ref="C299">ROUND(INDEX(FinancialData[Gross Sales],A299)-INDEX(FinancialData[Discounts],A299),2)=ROUND(INDEX(FinancialData[ [ Sales] ],A299),2)</f>
        <v>1</v>
      </c>
      <c r="D299" t="b" cm="1">
        <f t="array" ref="D299">ROUND(INDEX(FinancialData[ [ Sales] ],A299)-INDEX(FinancialData[COGS],A299),2)=ROUND(INDEX(FinancialData[Profit],A299),2)</f>
        <v>1</v>
      </c>
    </row>
    <row r="300" spans="1:4" x14ac:dyDescent="0.3">
      <c r="A300">
        <v>299</v>
      </c>
      <c r="B300" t="b">
        <f>ROUND(INDEX(FinancialData[Units Sold],1)*INDEX(FinancialData[Sale Price],1),2)=ROUND(INDEX(FinancialData[Gross Sales],1),2)</f>
        <v>1</v>
      </c>
      <c r="C300" s="12" t="b" cm="1">
        <f t="array" ref="C300">ROUND(INDEX(FinancialData[Gross Sales],A300)-INDEX(FinancialData[Discounts],A300),2)=ROUND(INDEX(FinancialData[ [ Sales] ],A300),2)</f>
        <v>1</v>
      </c>
      <c r="D300" t="b" cm="1">
        <f t="array" ref="D300">ROUND(INDEX(FinancialData[ [ Sales] ],A300)-INDEX(FinancialData[COGS],A300),2)=ROUND(INDEX(FinancialData[Profit],A300),2)</f>
        <v>1</v>
      </c>
    </row>
    <row r="301" spans="1:4" x14ac:dyDescent="0.3">
      <c r="A301">
        <v>300</v>
      </c>
      <c r="B301" t="b">
        <f>ROUND(INDEX(FinancialData[Units Sold],1)*INDEX(FinancialData[Sale Price],1),2)=ROUND(INDEX(FinancialData[Gross Sales],1),2)</f>
        <v>1</v>
      </c>
      <c r="C301" s="12" t="b" cm="1">
        <f t="array" ref="C301">ROUND(INDEX(FinancialData[Gross Sales],A301)-INDEX(FinancialData[Discounts],A301),2)=ROUND(INDEX(FinancialData[ [ Sales] ],A301),2)</f>
        <v>1</v>
      </c>
      <c r="D301" t="b" cm="1">
        <f t="array" ref="D301">ROUND(INDEX(FinancialData[ [ Sales] ],A301)-INDEX(FinancialData[COGS],A301),2)=ROUND(INDEX(FinancialData[Profit],A301),2)</f>
        <v>1</v>
      </c>
    </row>
    <row r="302" spans="1:4" x14ac:dyDescent="0.3">
      <c r="A302">
        <v>301</v>
      </c>
      <c r="B302" t="b">
        <f>ROUND(INDEX(FinancialData[Units Sold],1)*INDEX(FinancialData[Sale Price],1),2)=ROUND(INDEX(FinancialData[Gross Sales],1),2)</f>
        <v>1</v>
      </c>
      <c r="C302" s="12" t="b" cm="1">
        <f t="array" ref="C302">ROUND(INDEX(FinancialData[Gross Sales],A302)-INDEX(FinancialData[Discounts],A302),2)=ROUND(INDEX(FinancialData[ [ Sales] ],A302),2)</f>
        <v>1</v>
      </c>
      <c r="D302" t="b" cm="1">
        <f t="array" ref="D302">ROUND(INDEX(FinancialData[ [ Sales] ],A302)-INDEX(FinancialData[COGS],A302),2)=ROUND(INDEX(FinancialData[Profit],A302),2)</f>
        <v>1</v>
      </c>
    </row>
    <row r="303" spans="1:4" x14ac:dyDescent="0.3">
      <c r="A303">
        <v>302</v>
      </c>
      <c r="B303" t="b">
        <f>ROUND(INDEX(FinancialData[Units Sold],1)*INDEX(FinancialData[Sale Price],1),2)=ROUND(INDEX(FinancialData[Gross Sales],1),2)</f>
        <v>1</v>
      </c>
      <c r="C303" s="12" t="b" cm="1">
        <f t="array" ref="C303">ROUND(INDEX(FinancialData[Gross Sales],A303)-INDEX(FinancialData[Discounts],A303),2)=ROUND(INDEX(FinancialData[ [ Sales] ],A303),2)</f>
        <v>1</v>
      </c>
      <c r="D303" t="b" cm="1">
        <f t="array" ref="D303">ROUND(INDEX(FinancialData[ [ Sales] ],A303)-INDEX(FinancialData[COGS],A303),2)=ROUND(INDEX(FinancialData[Profit],A303),2)</f>
        <v>1</v>
      </c>
    </row>
    <row r="304" spans="1:4" x14ac:dyDescent="0.3">
      <c r="A304">
        <v>303</v>
      </c>
      <c r="B304" t="b">
        <f>ROUND(INDEX(FinancialData[Units Sold],1)*INDEX(FinancialData[Sale Price],1),2)=ROUND(INDEX(FinancialData[Gross Sales],1),2)</f>
        <v>1</v>
      </c>
      <c r="C304" s="12" t="b" cm="1">
        <f t="array" ref="C304">ROUND(INDEX(FinancialData[Gross Sales],A304)-INDEX(FinancialData[Discounts],A304),2)=ROUND(INDEX(FinancialData[ [ Sales] ],A304),2)</f>
        <v>1</v>
      </c>
      <c r="D304" t="b" cm="1">
        <f t="array" ref="D304">ROUND(INDEX(FinancialData[ [ Sales] ],A304)-INDEX(FinancialData[COGS],A304),2)=ROUND(INDEX(FinancialData[Profit],A304),2)</f>
        <v>1</v>
      </c>
    </row>
    <row r="305" spans="1:4" x14ac:dyDescent="0.3">
      <c r="A305">
        <v>304</v>
      </c>
      <c r="B305" t="b">
        <f>ROUND(INDEX(FinancialData[Units Sold],1)*INDEX(FinancialData[Sale Price],1),2)=ROUND(INDEX(FinancialData[Gross Sales],1),2)</f>
        <v>1</v>
      </c>
      <c r="C305" s="12" t="b" cm="1">
        <f t="array" ref="C305">ROUND(INDEX(FinancialData[Gross Sales],A305)-INDEX(FinancialData[Discounts],A305),2)=ROUND(INDEX(FinancialData[ [ Sales] ],A305),2)</f>
        <v>1</v>
      </c>
      <c r="D305" t="b" cm="1">
        <f t="array" ref="D305">ROUND(INDEX(FinancialData[ [ Sales] ],A305)-INDEX(FinancialData[COGS],A305),2)=ROUND(INDEX(FinancialData[Profit],A305),2)</f>
        <v>1</v>
      </c>
    </row>
    <row r="306" spans="1:4" x14ac:dyDescent="0.3">
      <c r="A306">
        <v>305</v>
      </c>
      <c r="B306" t="b">
        <f>ROUND(INDEX(FinancialData[Units Sold],1)*INDEX(FinancialData[Sale Price],1),2)=ROUND(INDEX(FinancialData[Gross Sales],1),2)</f>
        <v>1</v>
      </c>
      <c r="C306" s="12" t="b" cm="1">
        <f t="array" ref="C306">ROUND(INDEX(FinancialData[Gross Sales],A306)-INDEX(FinancialData[Discounts],A306),2)=ROUND(INDEX(FinancialData[ [ Sales] ],A306),2)</f>
        <v>1</v>
      </c>
      <c r="D306" t="b" cm="1">
        <f t="array" ref="D306">ROUND(INDEX(FinancialData[ [ Sales] ],A306)-INDEX(FinancialData[COGS],A306),2)=ROUND(INDEX(FinancialData[Profit],A306),2)</f>
        <v>1</v>
      </c>
    </row>
    <row r="307" spans="1:4" x14ac:dyDescent="0.3">
      <c r="A307">
        <v>306</v>
      </c>
      <c r="B307" t="b">
        <f>ROUND(INDEX(FinancialData[Units Sold],1)*INDEX(FinancialData[Sale Price],1),2)=ROUND(INDEX(FinancialData[Gross Sales],1),2)</f>
        <v>1</v>
      </c>
      <c r="C307" s="12" t="b" cm="1">
        <f t="array" ref="C307">ROUND(INDEX(FinancialData[Gross Sales],A307)-INDEX(FinancialData[Discounts],A307),2)=ROUND(INDEX(FinancialData[ [ Sales] ],A307),2)</f>
        <v>1</v>
      </c>
      <c r="D307" t="b" cm="1">
        <f t="array" ref="D307">ROUND(INDEX(FinancialData[ [ Sales] ],A307)-INDEX(FinancialData[COGS],A307),2)=ROUND(INDEX(FinancialData[Profit],A307),2)</f>
        <v>1</v>
      </c>
    </row>
    <row r="308" spans="1:4" x14ac:dyDescent="0.3">
      <c r="A308">
        <v>307</v>
      </c>
      <c r="B308" t="b">
        <f>ROUND(INDEX(FinancialData[Units Sold],1)*INDEX(FinancialData[Sale Price],1),2)=ROUND(INDEX(FinancialData[Gross Sales],1),2)</f>
        <v>1</v>
      </c>
      <c r="C308" s="12" t="b" cm="1">
        <f t="array" ref="C308">ROUND(INDEX(FinancialData[Gross Sales],A308)-INDEX(FinancialData[Discounts],A308),2)=ROUND(INDEX(FinancialData[ [ Sales] ],A308),2)</f>
        <v>1</v>
      </c>
      <c r="D308" t="b" cm="1">
        <f t="array" ref="D308">ROUND(INDEX(FinancialData[ [ Sales] ],A308)-INDEX(FinancialData[COGS],A308),2)=ROUND(INDEX(FinancialData[Profit],A308),2)</f>
        <v>1</v>
      </c>
    </row>
    <row r="309" spans="1:4" x14ac:dyDescent="0.3">
      <c r="A309">
        <v>308</v>
      </c>
      <c r="B309" t="b">
        <f>ROUND(INDEX(FinancialData[Units Sold],1)*INDEX(FinancialData[Sale Price],1),2)=ROUND(INDEX(FinancialData[Gross Sales],1),2)</f>
        <v>1</v>
      </c>
      <c r="C309" s="12" t="b" cm="1">
        <f t="array" ref="C309">ROUND(INDEX(FinancialData[Gross Sales],A309)-INDEX(FinancialData[Discounts],A309),2)=ROUND(INDEX(FinancialData[ [ Sales] ],A309),2)</f>
        <v>1</v>
      </c>
      <c r="D309" t="b" cm="1">
        <f t="array" ref="D309">ROUND(INDEX(FinancialData[ [ Sales] ],A309)-INDEX(FinancialData[COGS],A309),2)=ROUND(INDEX(FinancialData[Profit],A309),2)</f>
        <v>1</v>
      </c>
    </row>
    <row r="310" spans="1:4" x14ac:dyDescent="0.3">
      <c r="A310">
        <v>309</v>
      </c>
      <c r="B310" t="b">
        <f>ROUND(INDEX(FinancialData[Units Sold],1)*INDEX(FinancialData[Sale Price],1),2)=ROUND(INDEX(FinancialData[Gross Sales],1),2)</f>
        <v>1</v>
      </c>
      <c r="C310" s="12" t="b" cm="1">
        <f t="array" ref="C310">ROUND(INDEX(FinancialData[Gross Sales],A310)-INDEX(FinancialData[Discounts],A310),2)=ROUND(INDEX(FinancialData[ [ Sales] ],A310),2)</f>
        <v>1</v>
      </c>
      <c r="D310" t="b" cm="1">
        <f t="array" ref="D310">ROUND(INDEX(FinancialData[ [ Sales] ],A310)-INDEX(FinancialData[COGS],A310),2)=ROUND(INDEX(FinancialData[Profit],A310),2)</f>
        <v>1</v>
      </c>
    </row>
    <row r="311" spans="1:4" x14ac:dyDescent="0.3">
      <c r="A311">
        <v>310</v>
      </c>
      <c r="B311" t="b">
        <f>ROUND(INDEX(FinancialData[Units Sold],1)*INDEX(FinancialData[Sale Price],1),2)=ROUND(INDEX(FinancialData[Gross Sales],1),2)</f>
        <v>1</v>
      </c>
      <c r="C311" s="12" t="b" cm="1">
        <f t="array" ref="C311">ROUND(INDEX(FinancialData[Gross Sales],A311)-INDEX(FinancialData[Discounts],A311),2)=ROUND(INDEX(FinancialData[ [ Sales] ],A311),2)</f>
        <v>1</v>
      </c>
      <c r="D311" t="b" cm="1">
        <f t="array" ref="D311">ROUND(INDEX(FinancialData[ [ Sales] ],A311)-INDEX(FinancialData[COGS],A311),2)=ROUND(INDEX(FinancialData[Profit],A311),2)</f>
        <v>1</v>
      </c>
    </row>
    <row r="312" spans="1:4" x14ac:dyDescent="0.3">
      <c r="A312">
        <v>311</v>
      </c>
      <c r="B312" t="b">
        <f>ROUND(INDEX(FinancialData[Units Sold],1)*INDEX(FinancialData[Sale Price],1),2)=ROUND(INDEX(FinancialData[Gross Sales],1),2)</f>
        <v>1</v>
      </c>
      <c r="C312" s="12" t="b" cm="1">
        <f t="array" ref="C312">ROUND(INDEX(FinancialData[Gross Sales],A312)-INDEX(FinancialData[Discounts],A312),2)=ROUND(INDEX(FinancialData[ [ Sales] ],A312),2)</f>
        <v>1</v>
      </c>
      <c r="D312" t="b" cm="1">
        <f t="array" ref="D312">ROUND(INDEX(FinancialData[ [ Sales] ],A312)-INDEX(FinancialData[COGS],A312),2)=ROUND(INDEX(FinancialData[Profit],A312),2)</f>
        <v>1</v>
      </c>
    </row>
    <row r="313" spans="1:4" x14ac:dyDescent="0.3">
      <c r="A313">
        <v>312</v>
      </c>
      <c r="B313" t="b">
        <f>ROUND(INDEX(FinancialData[Units Sold],1)*INDEX(FinancialData[Sale Price],1),2)=ROUND(INDEX(FinancialData[Gross Sales],1),2)</f>
        <v>1</v>
      </c>
      <c r="C313" s="12" t="b" cm="1">
        <f t="array" ref="C313">ROUND(INDEX(FinancialData[Gross Sales],A313)-INDEX(FinancialData[Discounts],A313),2)=ROUND(INDEX(FinancialData[ [ Sales] ],A313),2)</f>
        <v>1</v>
      </c>
      <c r="D313" t="b" cm="1">
        <f t="array" ref="D313">ROUND(INDEX(FinancialData[ [ Sales] ],A313)-INDEX(FinancialData[COGS],A313),2)=ROUND(INDEX(FinancialData[Profit],A313),2)</f>
        <v>1</v>
      </c>
    </row>
    <row r="314" spans="1:4" x14ac:dyDescent="0.3">
      <c r="A314">
        <v>313</v>
      </c>
      <c r="B314" t="b">
        <f>ROUND(INDEX(FinancialData[Units Sold],1)*INDEX(FinancialData[Sale Price],1),2)=ROUND(INDEX(FinancialData[Gross Sales],1),2)</f>
        <v>1</v>
      </c>
      <c r="C314" s="12" t="b" cm="1">
        <f t="array" ref="C314">ROUND(INDEX(FinancialData[Gross Sales],A314)-INDEX(FinancialData[Discounts],A314),2)=ROUND(INDEX(FinancialData[ [ Sales] ],A314),2)</f>
        <v>1</v>
      </c>
      <c r="D314" t="b" cm="1">
        <f t="array" ref="D314">ROUND(INDEX(FinancialData[ [ Sales] ],A314)-INDEX(FinancialData[COGS],A314),2)=ROUND(INDEX(FinancialData[Profit],A314),2)</f>
        <v>1</v>
      </c>
    </row>
    <row r="315" spans="1:4" x14ac:dyDescent="0.3">
      <c r="A315">
        <v>314</v>
      </c>
      <c r="B315" t="b">
        <f>ROUND(INDEX(FinancialData[Units Sold],1)*INDEX(FinancialData[Sale Price],1),2)=ROUND(INDEX(FinancialData[Gross Sales],1),2)</f>
        <v>1</v>
      </c>
      <c r="C315" s="12" t="b" cm="1">
        <f t="array" ref="C315">ROUND(INDEX(FinancialData[Gross Sales],A315)-INDEX(FinancialData[Discounts],A315),2)=ROUND(INDEX(FinancialData[ [ Sales] ],A315),2)</f>
        <v>1</v>
      </c>
      <c r="D315" t="b" cm="1">
        <f t="array" ref="D315">ROUND(INDEX(FinancialData[ [ Sales] ],A315)-INDEX(FinancialData[COGS],A315),2)=ROUND(INDEX(FinancialData[Profit],A315),2)</f>
        <v>1</v>
      </c>
    </row>
    <row r="316" spans="1:4" x14ac:dyDescent="0.3">
      <c r="A316">
        <v>315</v>
      </c>
      <c r="B316" t="b">
        <f>ROUND(INDEX(FinancialData[Units Sold],1)*INDEX(FinancialData[Sale Price],1),2)=ROUND(INDEX(FinancialData[Gross Sales],1),2)</f>
        <v>1</v>
      </c>
      <c r="C316" s="12" t="b" cm="1">
        <f t="array" ref="C316">ROUND(INDEX(FinancialData[Gross Sales],A316)-INDEX(FinancialData[Discounts],A316),2)=ROUND(INDEX(FinancialData[ [ Sales] ],A316),2)</f>
        <v>1</v>
      </c>
      <c r="D316" t="b" cm="1">
        <f t="array" ref="D316">ROUND(INDEX(FinancialData[ [ Sales] ],A316)-INDEX(FinancialData[COGS],A316),2)=ROUND(INDEX(FinancialData[Profit],A316),2)</f>
        <v>1</v>
      </c>
    </row>
    <row r="317" spans="1:4" x14ac:dyDescent="0.3">
      <c r="A317">
        <v>316</v>
      </c>
      <c r="B317" t="b">
        <f>ROUND(INDEX(FinancialData[Units Sold],1)*INDEX(FinancialData[Sale Price],1),2)=ROUND(INDEX(FinancialData[Gross Sales],1),2)</f>
        <v>1</v>
      </c>
      <c r="C317" s="12" t="b" cm="1">
        <f t="array" ref="C317">ROUND(INDEX(FinancialData[Gross Sales],A317)-INDEX(FinancialData[Discounts],A317),2)=ROUND(INDEX(FinancialData[ [ Sales] ],A317),2)</f>
        <v>1</v>
      </c>
      <c r="D317" t="b" cm="1">
        <f t="array" ref="D317">ROUND(INDEX(FinancialData[ [ Sales] ],A317)-INDEX(FinancialData[COGS],A317),2)=ROUND(INDEX(FinancialData[Profit],A317),2)</f>
        <v>1</v>
      </c>
    </row>
    <row r="318" spans="1:4" x14ac:dyDescent="0.3">
      <c r="A318">
        <v>317</v>
      </c>
      <c r="B318" t="b">
        <f>ROUND(INDEX(FinancialData[Units Sold],1)*INDEX(FinancialData[Sale Price],1),2)=ROUND(INDEX(FinancialData[Gross Sales],1),2)</f>
        <v>1</v>
      </c>
      <c r="C318" s="12" t="b" cm="1">
        <f t="array" ref="C318">ROUND(INDEX(FinancialData[Gross Sales],A318)-INDEX(FinancialData[Discounts],A318),2)=ROUND(INDEX(FinancialData[ [ Sales] ],A318),2)</f>
        <v>1</v>
      </c>
      <c r="D318" t="b" cm="1">
        <f t="array" ref="D318">ROUND(INDEX(FinancialData[ [ Sales] ],A318)-INDEX(FinancialData[COGS],A318),2)=ROUND(INDEX(FinancialData[Profit],A318),2)</f>
        <v>1</v>
      </c>
    </row>
    <row r="319" spans="1:4" x14ac:dyDescent="0.3">
      <c r="A319">
        <v>318</v>
      </c>
      <c r="B319" t="b">
        <f>ROUND(INDEX(FinancialData[Units Sold],1)*INDEX(FinancialData[Sale Price],1),2)=ROUND(INDEX(FinancialData[Gross Sales],1),2)</f>
        <v>1</v>
      </c>
      <c r="C319" s="12" t="b" cm="1">
        <f t="array" ref="C319">ROUND(INDEX(FinancialData[Gross Sales],A319)-INDEX(FinancialData[Discounts],A319),2)=ROUND(INDEX(FinancialData[ [ Sales] ],A319),2)</f>
        <v>1</v>
      </c>
      <c r="D319" t="b" cm="1">
        <f t="array" ref="D319">ROUND(INDEX(FinancialData[ [ Sales] ],A319)-INDEX(FinancialData[COGS],A319),2)=ROUND(INDEX(FinancialData[Profit],A319),2)</f>
        <v>1</v>
      </c>
    </row>
    <row r="320" spans="1:4" x14ac:dyDescent="0.3">
      <c r="A320">
        <v>319</v>
      </c>
      <c r="B320" t="b">
        <f>ROUND(INDEX(FinancialData[Units Sold],1)*INDEX(FinancialData[Sale Price],1),2)=ROUND(INDEX(FinancialData[Gross Sales],1),2)</f>
        <v>1</v>
      </c>
      <c r="C320" s="12" t="b" cm="1">
        <f t="array" ref="C320">ROUND(INDEX(FinancialData[Gross Sales],A320)-INDEX(FinancialData[Discounts],A320),2)=ROUND(INDEX(FinancialData[ [ Sales] ],A320),2)</f>
        <v>1</v>
      </c>
      <c r="D320" t="b" cm="1">
        <f t="array" ref="D320">ROUND(INDEX(FinancialData[ [ Sales] ],A320)-INDEX(FinancialData[COGS],A320),2)=ROUND(INDEX(FinancialData[Profit],A320),2)</f>
        <v>1</v>
      </c>
    </row>
    <row r="321" spans="1:4" x14ac:dyDescent="0.3">
      <c r="A321">
        <v>320</v>
      </c>
      <c r="B321" t="b">
        <f>ROUND(INDEX(FinancialData[Units Sold],1)*INDEX(FinancialData[Sale Price],1),2)=ROUND(INDEX(FinancialData[Gross Sales],1),2)</f>
        <v>1</v>
      </c>
      <c r="C321" s="12" t="b" cm="1">
        <f t="array" ref="C321">ROUND(INDEX(FinancialData[Gross Sales],A321)-INDEX(FinancialData[Discounts],A321),2)=ROUND(INDEX(FinancialData[ [ Sales] ],A321),2)</f>
        <v>1</v>
      </c>
      <c r="D321" t="b" cm="1">
        <f t="array" ref="D321">ROUND(INDEX(FinancialData[ [ Sales] ],A321)-INDEX(FinancialData[COGS],A321),2)=ROUND(INDEX(FinancialData[Profit],A321),2)</f>
        <v>1</v>
      </c>
    </row>
    <row r="322" spans="1:4" x14ac:dyDescent="0.3">
      <c r="A322">
        <v>321</v>
      </c>
      <c r="B322" t="b">
        <f>ROUND(INDEX(FinancialData[Units Sold],1)*INDEX(FinancialData[Sale Price],1),2)=ROUND(INDEX(FinancialData[Gross Sales],1),2)</f>
        <v>1</v>
      </c>
      <c r="C322" s="12" t="b" cm="1">
        <f t="array" ref="C322">ROUND(INDEX(FinancialData[Gross Sales],A322)-INDEX(FinancialData[Discounts],A322),2)=ROUND(INDEX(FinancialData[ [ Sales] ],A322),2)</f>
        <v>1</v>
      </c>
      <c r="D322" t="b" cm="1">
        <f t="array" ref="D322">ROUND(INDEX(FinancialData[ [ Sales] ],A322)-INDEX(FinancialData[COGS],A322),2)=ROUND(INDEX(FinancialData[Profit],A322),2)</f>
        <v>1</v>
      </c>
    </row>
    <row r="323" spans="1:4" x14ac:dyDescent="0.3">
      <c r="A323">
        <v>322</v>
      </c>
      <c r="B323" t="b">
        <f>ROUND(INDEX(FinancialData[Units Sold],1)*INDEX(FinancialData[Sale Price],1),2)=ROUND(INDEX(FinancialData[Gross Sales],1),2)</f>
        <v>1</v>
      </c>
      <c r="C323" s="12" t="b" cm="1">
        <f t="array" ref="C323">ROUND(INDEX(FinancialData[Gross Sales],A323)-INDEX(FinancialData[Discounts],A323),2)=ROUND(INDEX(FinancialData[ [ Sales] ],A323),2)</f>
        <v>1</v>
      </c>
      <c r="D323" t="b" cm="1">
        <f t="array" ref="D323">ROUND(INDEX(FinancialData[ [ Sales] ],A323)-INDEX(FinancialData[COGS],A323),2)=ROUND(INDEX(FinancialData[Profit],A323),2)</f>
        <v>1</v>
      </c>
    </row>
    <row r="324" spans="1:4" x14ac:dyDescent="0.3">
      <c r="A324">
        <v>323</v>
      </c>
      <c r="B324" t="b">
        <f>ROUND(INDEX(FinancialData[Units Sold],1)*INDEX(FinancialData[Sale Price],1),2)=ROUND(INDEX(FinancialData[Gross Sales],1),2)</f>
        <v>1</v>
      </c>
      <c r="C324" s="12" t="b" cm="1">
        <f t="array" ref="C324">ROUND(INDEX(FinancialData[Gross Sales],A324)-INDEX(FinancialData[Discounts],A324),2)=ROUND(INDEX(FinancialData[ [ Sales] ],A324),2)</f>
        <v>1</v>
      </c>
      <c r="D324" t="b" cm="1">
        <f t="array" ref="D324">ROUND(INDEX(FinancialData[ [ Sales] ],A324)-INDEX(FinancialData[COGS],A324),2)=ROUND(INDEX(FinancialData[Profit],A324),2)</f>
        <v>1</v>
      </c>
    </row>
    <row r="325" spans="1:4" x14ac:dyDescent="0.3">
      <c r="A325">
        <v>324</v>
      </c>
      <c r="B325" t="b">
        <f>ROUND(INDEX(FinancialData[Units Sold],1)*INDEX(FinancialData[Sale Price],1),2)=ROUND(INDEX(FinancialData[Gross Sales],1),2)</f>
        <v>1</v>
      </c>
      <c r="C325" s="12" t="b" cm="1">
        <f t="array" ref="C325">ROUND(INDEX(FinancialData[Gross Sales],A325)-INDEX(FinancialData[Discounts],A325),2)=ROUND(INDEX(FinancialData[ [ Sales] ],A325),2)</f>
        <v>1</v>
      </c>
      <c r="D325" t="b" cm="1">
        <f t="array" ref="D325">ROUND(INDEX(FinancialData[ [ Sales] ],A325)-INDEX(FinancialData[COGS],A325),2)=ROUND(INDEX(FinancialData[Profit],A325),2)</f>
        <v>1</v>
      </c>
    </row>
    <row r="326" spans="1:4" x14ac:dyDescent="0.3">
      <c r="A326">
        <v>325</v>
      </c>
      <c r="B326" t="b">
        <f>ROUND(INDEX(FinancialData[Units Sold],1)*INDEX(FinancialData[Sale Price],1),2)=ROUND(INDEX(FinancialData[Gross Sales],1),2)</f>
        <v>1</v>
      </c>
      <c r="C326" s="12" t="b" cm="1">
        <f t="array" ref="C326">ROUND(INDEX(FinancialData[Gross Sales],A326)-INDEX(FinancialData[Discounts],A326),2)=ROUND(INDEX(FinancialData[ [ Sales] ],A326),2)</f>
        <v>1</v>
      </c>
      <c r="D326" t="b" cm="1">
        <f t="array" ref="D326">ROUND(INDEX(FinancialData[ [ Sales] ],A326)-INDEX(FinancialData[COGS],A326),2)=ROUND(INDEX(FinancialData[Profit],A326),2)</f>
        <v>1</v>
      </c>
    </row>
    <row r="327" spans="1:4" x14ac:dyDescent="0.3">
      <c r="A327">
        <v>326</v>
      </c>
      <c r="B327" t="b">
        <f>ROUND(INDEX(FinancialData[Units Sold],1)*INDEX(FinancialData[Sale Price],1),2)=ROUND(INDEX(FinancialData[Gross Sales],1),2)</f>
        <v>1</v>
      </c>
      <c r="C327" s="12" t="b" cm="1">
        <f t="array" ref="C327">ROUND(INDEX(FinancialData[Gross Sales],A327)-INDEX(FinancialData[Discounts],A327),2)=ROUND(INDEX(FinancialData[ [ Sales] ],A327),2)</f>
        <v>1</v>
      </c>
      <c r="D327" t="b" cm="1">
        <f t="array" ref="D327">ROUND(INDEX(FinancialData[ [ Sales] ],A327)-INDEX(FinancialData[COGS],A327),2)=ROUND(INDEX(FinancialData[Profit],A327),2)</f>
        <v>1</v>
      </c>
    </row>
    <row r="328" spans="1:4" x14ac:dyDescent="0.3">
      <c r="A328">
        <v>327</v>
      </c>
      <c r="B328" t="b">
        <f>ROUND(INDEX(FinancialData[Units Sold],1)*INDEX(FinancialData[Sale Price],1),2)=ROUND(INDEX(FinancialData[Gross Sales],1),2)</f>
        <v>1</v>
      </c>
      <c r="C328" s="12" t="b" cm="1">
        <f t="array" ref="C328">ROUND(INDEX(FinancialData[Gross Sales],A328)-INDEX(FinancialData[Discounts],A328),2)=ROUND(INDEX(FinancialData[ [ Sales] ],A328),2)</f>
        <v>1</v>
      </c>
      <c r="D328" t="b" cm="1">
        <f t="array" ref="D328">ROUND(INDEX(FinancialData[ [ Sales] ],A328)-INDEX(FinancialData[COGS],A328),2)=ROUND(INDEX(FinancialData[Profit],A328),2)</f>
        <v>1</v>
      </c>
    </row>
    <row r="329" spans="1:4" x14ac:dyDescent="0.3">
      <c r="A329">
        <v>328</v>
      </c>
      <c r="B329" t="b">
        <f>ROUND(INDEX(FinancialData[Units Sold],1)*INDEX(FinancialData[Sale Price],1),2)=ROUND(INDEX(FinancialData[Gross Sales],1),2)</f>
        <v>1</v>
      </c>
      <c r="C329" s="12" t="b" cm="1">
        <f t="array" ref="C329">ROUND(INDEX(FinancialData[Gross Sales],A329)-INDEX(FinancialData[Discounts],A329),2)=ROUND(INDEX(FinancialData[ [ Sales] ],A329),2)</f>
        <v>1</v>
      </c>
      <c r="D329" t="b" cm="1">
        <f t="array" ref="D329">ROUND(INDEX(FinancialData[ [ Sales] ],A329)-INDEX(FinancialData[COGS],A329),2)=ROUND(INDEX(FinancialData[Profit],A329),2)</f>
        <v>1</v>
      </c>
    </row>
    <row r="330" spans="1:4" x14ac:dyDescent="0.3">
      <c r="A330">
        <v>329</v>
      </c>
      <c r="B330" t="b">
        <f>ROUND(INDEX(FinancialData[Units Sold],1)*INDEX(FinancialData[Sale Price],1),2)=ROUND(INDEX(FinancialData[Gross Sales],1),2)</f>
        <v>1</v>
      </c>
      <c r="C330" s="12" t="b" cm="1">
        <f t="array" ref="C330">ROUND(INDEX(FinancialData[Gross Sales],A330)-INDEX(FinancialData[Discounts],A330),2)=ROUND(INDEX(FinancialData[ [ Sales] ],A330),2)</f>
        <v>1</v>
      </c>
      <c r="D330" t="b" cm="1">
        <f t="array" ref="D330">ROUND(INDEX(FinancialData[ [ Sales] ],A330)-INDEX(FinancialData[COGS],A330),2)=ROUND(INDEX(FinancialData[Profit],A330),2)</f>
        <v>1</v>
      </c>
    </row>
    <row r="331" spans="1:4" x14ac:dyDescent="0.3">
      <c r="A331">
        <v>330</v>
      </c>
      <c r="B331" t="b">
        <f>ROUND(INDEX(FinancialData[Units Sold],1)*INDEX(FinancialData[Sale Price],1),2)=ROUND(INDEX(FinancialData[Gross Sales],1),2)</f>
        <v>1</v>
      </c>
      <c r="C331" s="12" t="b" cm="1">
        <f t="array" ref="C331">ROUND(INDEX(FinancialData[Gross Sales],A331)-INDEX(FinancialData[Discounts],A331),2)=ROUND(INDEX(FinancialData[ [ Sales] ],A331),2)</f>
        <v>1</v>
      </c>
      <c r="D331" t="b" cm="1">
        <f t="array" ref="D331">ROUND(INDEX(FinancialData[ [ Sales] ],A331)-INDEX(FinancialData[COGS],A331),2)=ROUND(INDEX(FinancialData[Profit],A331),2)</f>
        <v>1</v>
      </c>
    </row>
    <row r="332" spans="1:4" x14ac:dyDescent="0.3">
      <c r="A332">
        <v>331</v>
      </c>
      <c r="B332" t="b">
        <f>ROUND(INDEX(FinancialData[Units Sold],1)*INDEX(FinancialData[Sale Price],1),2)=ROUND(INDEX(FinancialData[Gross Sales],1),2)</f>
        <v>1</v>
      </c>
      <c r="C332" s="12" t="b" cm="1">
        <f t="array" ref="C332">ROUND(INDEX(FinancialData[Gross Sales],A332)-INDEX(FinancialData[Discounts],A332),2)=ROUND(INDEX(FinancialData[ [ Sales] ],A332),2)</f>
        <v>1</v>
      </c>
      <c r="D332" t="b" cm="1">
        <f t="array" ref="D332">ROUND(INDEX(FinancialData[ [ Sales] ],A332)-INDEX(FinancialData[COGS],A332),2)=ROUND(INDEX(FinancialData[Profit],A332),2)</f>
        <v>1</v>
      </c>
    </row>
    <row r="333" spans="1:4" x14ac:dyDescent="0.3">
      <c r="A333">
        <v>332</v>
      </c>
      <c r="B333" t="b">
        <f>ROUND(INDEX(FinancialData[Units Sold],1)*INDEX(FinancialData[Sale Price],1),2)=ROUND(INDEX(FinancialData[Gross Sales],1),2)</f>
        <v>1</v>
      </c>
      <c r="C333" s="12" t="b" cm="1">
        <f t="array" ref="C333">ROUND(INDEX(FinancialData[Gross Sales],A333)-INDEX(FinancialData[Discounts],A333),2)=ROUND(INDEX(FinancialData[ [ Sales] ],A333),2)</f>
        <v>1</v>
      </c>
      <c r="D333" t="b" cm="1">
        <f t="array" ref="D333">ROUND(INDEX(FinancialData[ [ Sales] ],A333)-INDEX(FinancialData[COGS],A333),2)=ROUND(INDEX(FinancialData[Profit],A333),2)</f>
        <v>1</v>
      </c>
    </row>
    <row r="334" spans="1:4" x14ac:dyDescent="0.3">
      <c r="A334">
        <v>333</v>
      </c>
      <c r="B334" t="b">
        <f>ROUND(INDEX(FinancialData[Units Sold],1)*INDEX(FinancialData[Sale Price],1),2)=ROUND(INDEX(FinancialData[Gross Sales],1),2)</f>
        <v>1</v>
      </c>
      <c r="C334" s="12" t="b" cm="1">
        <f t="array" ref="C334">ROUND(INDEX(FinancialData[Gross Sales],A334)-INDEX(FinancialData[Discounts],A334),2)=ROUND(INDEX(FinancialData[ [ Sales] ],A334),2)</f>
        <v>1</v>
      </c>
      <c r="D334" t="b" cm="1">
        <f t="array" ref="D334">ROUND(INDEX(FinancialData[ [ Sales] ],A334)-INDEX(FinancialData[COGS],A334),2)=ROUND(INDEX(FinancialData[Profit],A334),2)</f>
        <v>1</v>
      </c>
    </row>
    <row r="335" spans="1:4" x14ac:dyDescent="0.3">
      <c r="A335">
        <v>334</v>
      </c>
      <c r="B335" t="b">
        <f>ROUND(INDEX(FinancialData[Units Sold],1)*INDEX(FinancialData[Sale Price],1),2)=ROUND(INDEX(FinancialData[Gross Sales],1),2)</f>
        <v>1</v>
      </c>
      <c r="C335" s="12" t="b" cm="1">
        <f t="array" ref="C335">ROUND(INDEX(FinancialData[Gross Sales],A335)-INDEX(FinancialData[Discounts],A335),2)=ROUND(INDEX(FinancialData[ [ Sales] ],A335),2)</f>
        <v>1</v>
      </c>
      <c r="D335" t="b" cm="1">
        <f t="array" ref="D335">ROUND(INDEX(FinancialData[ [ Sales] ],A335)-INDEX(FinancialData[COGS],A335),2)=ROUND(INDEX(FinancialData[Profit],A335),2)</f>
        <v>1</v>
      </c>
    </row>
    <row r="336" spans="1:4" x14ac:dyDescent="0.3">
      <c r="A336">
        <v>335</v>
      </c>
      <c r="B336" t="b">
        <f>ROUND(INDEX(FinancialData[Units Sold],1)*INDEX(FinancialData[Sale Price],1),2)=ROUND(INDEX(FinancialData[Gross Sales],1),2)</f>
        <v>1</v>
      </c>
      <c r="C336" s="12" t="b" cm="1">
        <f t="array" ref="C336">ROUND(INDEX(FinancialData[Gross Sales],A336)-INDEX(FinancialData[Discounts],A336),2)=ROUND(INDEX(FinancialData[ [ Sales] ],A336),2)</f>
        <v>1</v>
      </c>
      <c r="D336" t="b" cm="1">
        <f t="array" ref="D336">ROUND(INDEX(FinancialData[ [ Sales] ],A336)-INDEX(FinancialData[COGS],A336),2)=ROUND(INDEX(FinancialData[Profit],A336),2)</f>
        <v>1</v>
      </c>
    </row>
    <row r="337" spans="1:4" x14ac:dyDescent="0.3">
      <c r="A337">
        <v>336</v>
      </c>
      <c r="B337" t="b">
        <f>ROUND(INDEX(FinancialData[Units Sold],1)*INDEX(FinancialData[Sale Price],1),2)=ROUND(INDEX(FinancialData[Gross Sales],1),2)</f>
        <v>1</v>
      </c>
      <c r="C337" s="12" t="b" cm="1">
        <f t="array" ref="C337">ROUND(INDEX(FinancialData[Gross Sales],A337)-INDEX(FinancialData[Discounts],A337),2)=ROUND(INDEX(FinancialData[ [ Sales] ],A337),2)</f>
        <v>1</v>
      </c>
      <c r="D337" t="b" cm="1">
        <f t="array" ref="D337">ROUND(INDEX(FinancialData[ [ Sales] ],A337)-INDEX(FinancialData[COGS],A337),2)=ROUND(INDEX(FinancialData[Profit],A337),2)</f>
        <v>1</v>
      </c>
    </row>
    <row r="338" spans="1:4" x14ac:dyDescent="0.3">
      <c r="A338">
        <v>337</v>
      </c>
      <c r="B338" t="b">
        <f>ROUND(INDEX(FinancialData[Units Sold],1)*INDEX(FinancialData[Sale Price],1),2)=ROUND(INDEX(FinancialData[Gross Sales],1),2)</f>
        <v>1</v>
      </c>
      <c r="C338" s="12" t="b" cm="1">
        <f t="array" ref="C338">ROUND(INDEX(FinancialData[Gross Sales],A338)-INDEX(FinancialData[Discounts],A338),2)=ROUND(INDEX(FinancialData[ [ Sales] ],A338),2)</f>
        <v>1</v>
      </c>
      <c r="D338" t="b" cm="1">
        <f t="array" ref="D338">ROUND(INDEX(FinancialData[ [ Sales] ],A338)-INDEX(FinancialData[COGS],A338),2)=ROUND(INDEX(FinancialData[Profit],A338),2)</f>
        <v>1</v>
      </c>
    </row>
    <row r="339" spans="1:4" x14ac:dyDescent="0.3">
      <c r="A339">
        <v>338</v>
      </c>
      <c r="B339" t="b">
        <f>ROUND(INDEX(FinancialData[Units Sold],1)*INDEX(FinancialData[Sale Price],1),2)=ROUND(INDEX(FinancialData[Gross Sales],1),2)</f>
        <v>1</v>
      </c>
      <c r="C339" s="12" t="b" cm="1">
        <f t="array" ref="C339">ROUND(INDEX(FinancialData[Gross Sales],A339)-INDEX(FinancialData[Discounts],A339),2)=ROUND(INDEX(FinancialData[ [ Sales] ],A339),2)</f>
        <v>1</v>
      </c>
      <c r="D339" t="b" cm="1">
        <f t="array" ref="D339">ROUND(INDEX(FinancialData[ [ Sales] ],A339)-INDEX(FinancialData[COGS],A339),2)=ROUND(INDEX(FinancialData[Profit],A339),2)</f>
        <v>1</v>
      </c>
    </row>
    <row r="340" spans="1:4" x14ac:dyDescent="0.3">
      <c r="A340">
        <v>339</v>
      </c>
      <c r="B340" t="b">
        <f>ROUND(INDEX(FinancialData[Units Sold],1)*INDEX(FinancialData[Sale Price],1),2)=ROUND(INDEX(FinancialData[Gross Sales],1),2)</f>
        <v>1</v>
      </c>
      <c r="C340" s="12" t="b" cm="1">
        <f t="array" ref="C340">ROUND(INDEX(FinancialData[Gross Sales],A340)-INDEX(FinancialData[Discounts],A340),2)=ROUND(INDEX(FinancialData[ [ Sales] ],A340),2)</f>
        <v>1</v>
      </c>
      <c r="D340" t="b" cm="1">
        <f t="array" ref="D340">ROUND(INDEX(FinancialData[ [ Sales] ],A340)-INDEX(FinancialData[COGS],A340),2)=ROUND(INDEX(FinancialData[Profit],A340),2)</f>
        <v>1</v>
      </c>
    </row>
    <row r="341" spans="1:4" x14ac:dyDescent="0.3">
      <c r="A341">
        <v>340</v>
      </c>
      <c r="B341" t="b">
        <f>ROUND(INDEX(FinancialData[Units Sold],1)*INDEX(FinancialData[Sale Price],1),2)=ROUND(INDEX(FinancialData[Gross Sales],1),2)</f>
        <v>1</v>
      </c>
      <c r="C341" s="12" t="b" cm="1">
        <f t="array" ref="C341">ROUND(INDEX(FinancialData[Gross Sales],A341)-INDEX(FinancialData[Discounts],A341),2)=ROUND(INDEX(FinancialData[ [ Sales] ],A341),2)</f>
        <v>1</v>
      </c>
      <c r="D341" t="b" cm="1">
        <f t="array" ref="D341">ROUND(INDEX(FinancialData[ [ Sales] ],A341)-INDEX(FinancialData[COGS],A341),2)=ROUND(INDEX(FinancialData[Profit],A341),2)</f>
        <v>1</v>
      </c>
    </row>
    <row r="342" spans="1:4" x14ac:dyDescent="0.3">
      <c r="A342">
        <v>341</v>
      </c>
      <c r="B342" t="b">
        <f>ROUND(INDEX(FinancialData[Units Sold],1)*INDEX(FinancialData[Sale Price],1),2)=ROUND(INDEX(FinancialData[Gross Sales],1),2)</f>
        <v>1</v>
      </c>
      <c r="C342" s="12" t="b" cm="1">
        <f t="array" ref="C342">ROUND(INDEX(FinancialData[Gross Sales],A342)-INDEX(FinancialData[Discounts],A342),2)=ROUND(INDEX(FinancialData[ [ Sales] ],A342),2)</f>
        <v>1</v>
      </c>
      <c r="D342" t="b" cm="1">
        <f t="array" ref="D342">ROUND(INDEX(FinancialData[ [ Sales] ],A342)-INDEX(FinancialData[COGS],A342),2)=ROUND(INDEX(FinancialData[Profit],A342),2)</f>
        <v>1</v>
      </c>
    </row>
    <row r="343" spans="1:4" x14ac:dyDescent="0.3">
      <c r="A343">
        <v>342</v>
      </c>
      <c r="B343" t="b">
        <f>ROUND(INDEX(FinancialData[Units Sold],1)*INDEX(FinancialData[Sale Price],1),2)=ROUND(INDEX(FinancialData[Gross Sales],1),2)</f>
        <v>1</v>
      </c>
      <c r="C343" s="12" t="b" cm="1">
        <f t="array" ref="C343">ROUND(INDEX(FinancialData[Gross Sales],A343)-INDEX(FinancialData[Discounts],A343),2)=ROUND(INDEX(FinancialData[ [ Sales] ],A343),2)</f>
        <v>1</v>
      </c>
      <c r="D343" t="b" cm="1">
        <f t="array" ref="D343">ROUND(INDEX(FinancialData[ [ Sales] ],A343)-INDEX(FinancialData[COGS],A343),2)=ROUND(INDEX(FinancialData[Profit],A343),2)</f>
        <v>1</v>
      </c>
    </row>
    <row r="344" spans="1:4" x14ac:dyDescent="0.3">
      <c r="A344">
        <v>343</v>
      </c>
      <c r="B344" t="b">
        <f>ROUND(INDEX(FinancialData[Units Sold],1)*INDEX(FinancialData[Sale Price],1),2)=ROUND(INDEX(FinancialData[Gross Sales],1),2)</f>
        <v>1</v>
      </c>
      <c r="C344" s="12" t="b" cm="1">
        <f t="array" ref="C344">ROUND(INDEX(FinancialData[Gross Sales],A344)-INDEX(FinancialData[Discounts],A344),2)=ROUND(INDEX(FinancialData[ [ Sales] ],A344),2)</f>
        <v>1</v>
      </c>
      <c r="D344" t="b" cm="1">
        <f t="array" ref="D344">ROUND(INDEX(FinancialData[ [ Sales] ],A344)-INDEX(FinancialData[COGS],A344),2)=ROUND(INDEX(FinancialData[Profit],A344),2)</f>
        <v>1</v>
      </c>
    </row>
    <row r="345" spans="1:4" x14ac:dyDescent="0.3">
      <c r="A345">
        <v>344</v>
      </c>
      <c r="B345" t="b">
        <f>ROUND(INDEX(FinancialData[Units Sold],1)*INDEX(FinancialData[Sale Price],1),2)=ROUND(INDEX(FinancialData[Gross Sales],1),2)</f>
        <v>1</v>
      </c>
      <c r="C345" s="12" t="b" cm="1">
        <f t="array" ref="C345">ROUND(INDEX(FinancialData[Gross Sales],A345)-INDEX(FinancialData[Discounts],A345),2)=ROUND(INDEX(FinancialData[ [ Sales] ],A345),2)</f>
        <v>1</v>
      </c>
      <c r="D345" t="b" cm="1">
        <f t="array" ref="D345">ROUND(INDEX(FinancialData[ [ Sales] ],A345)-INDEX(FinancialData[COGS],A345),2)=ROUND(INDEX(FinancialData[Profit],A345),2)</f>
        <v>1</v>
      </c>
    </row>
    <row r="346" spans="1:4" x14ac:dyDescent="0.3">
      <c r="A346">
        <v>345</v>
      </c>
      <c r="B346" t="b">
        <f>ROUND(INDEX(FinancialData[Units Sold],1)*INDEX(FinancialData[Sale Price],1),2)=ROUND(INDEX(FinancialData[Gross Sales],1),2)</f>
        <v>1</v>
      </c>
      <c r="C346" s="12" t="b" cm="1">
        <f t="array" ref="C346">ROUND(INDEX(FinancialData[Gross Sales],A346)-INDEX(FinancialData[Discounts],A346),2)=ROUND(INDEX(FinancialData[ [ Sales] ],A346),2)</f>
        <v>1</v>
      </c>
      <c r="D346" t="b" cm="1">
        <f t="array" ref="D346">ROUND(INDEX(FinancialData[ [ Sales] ],A346)-INDEX(FinancialData[COGS],A346),2)=ROUND(INDEX(FinancialData[Profit],A346),2)</f>
        <v>1</v>
      </c>
    </row>
    <row r="347" spans="1:4" x14ac:dyDescent="0.3">
      <c r="A347">
        <v>346</v>
      </c>
      <c r="B347" t="b">
        <f>ROUND(INDEX(FinancialData[Units Sold],1)*INDEX(FinancialData[Sale Price],1),2)=ROUND(INDEX(FinancialData[Gross Sales],1),2)</f>
        <v>1</v>
      </c>
      <c r="C347" s="12" t="b" cm="1">
        <f t="array" ref="C347">ROUND(INDEX(FinancialData[Gross Sales],A347)-INDEX(FinancialData[Discounts],A347),2)=ROUND(INDEX(FinancialData[ [ Sales] ],A347),2)</f>
        <v>1</v>
      </c>
      <c r="D347" t="b" cm="1">
        <f t="array" ref="D347">ROUND(INDEX(FinancialData[ [ Sales] ],A347)-INDEX(FinancialData[COGS],A347),2)=ROUND(INDEX(FinancialData[Profit],A347),2)</f>
        <v>1</v>
      </c>
    </row>
    <row r="348" spans="1:4" x14ac:dyDescent="0.3">
      <c r="A348">
        <v>347</v>
      </c>
      <c r="B348" t="b">
        <f>ROUND(INDEX(FinancialData[Units Sold],1)*INDEX(FinancialData[Sale Price],1),2)=ROUND(INDEX(FinancialData[Gross Sales],1),2)</f>
        <v>1</v>
      </c>
      <c r="C348" s="12" t="b" cm="1">
        <f t="array" ref="C348">ROUND(INDEX(FinancialData[Gross Sales],A348)-INDEX(FinancialData[Discounts],A348),2)=ROUND(INDEX(FinancialData[ [ Sales] ],A348),2)</f>
        <v>1</v>
      </c>
      <c r="D348" t="b" cm="1">
        <f t="array" ref="D348">ROUND(INDEX(FinancialData[ [ Sales] ],A348)-INDEX(FinancialData[COGS],A348),2)=ROUND(INDEX(FinancialData[Profit],A348),2)</f>
        <v>1</v>
      </c>
    </row>
    <row r="349" spans="1:4" x14ac:dyDescent="0.3">
      <c r="A349">
        <v>348</v>
      </c>
      <c r="B349" t="b">
        <f>ROUND(INDEX(FinancialData[Units Sold],1)*INDEX(FinancialData[Sale Price],1),2)=ROUND(INDEX(FinancialData[Gross Sales],1),2)</f>
        <v>1</v>
      </c>
      <c r="C349" s="12" t="b" cm="1">
        <f t="array" ref="C349">ROUND(INDEX(FinancialData[Gross Sales],A349)-INDEX(FinancialData[Discounts],A349),2)=ROUND(INDEX(FinancialData[ [ Sales] ],A349),2)</f>
        <v>1</v>
      </c>
      <c r="D349" t="b" cm="1">
        <f t="array" ref="D349">ROUND(INDEX(FinancialData[ [ Sales] ],A349)-INDEX(FinancialData[COGS],A349),2)=ROUND(INDEX(FinancialData[Profit],A349),2)</f>
        <v>1</v>
      </c>
    </row>
    <row r="350" spans="1:4" x14ac:dyDescent="0.3">
      <c r="A350">
        <v>349</v>
      </c>
      <c r="B350" t="b">
        <f>ROUND(INDEX(FinancialData[Units Sold],1)*INDEX(FinancialData[Sale Price],1),2)=ROUND(INDEX(FinancialData[Gross Sales],1),2)</f>
        <v>1</v>
      </c>
      <c r="C350" s="12" t="b" cm="1">
        <f t="array" ref="C350">ROUND(INDEX(FinancialData[Gross Sales],A350)-INDEX(FinancialData[Discounts],A350),2)=ROUND(INDEX(FinancialData[ [ Sales] ],A350),2)</f>
        <v>1</v>
      </c>
      <c r="D350" t="b" cm="1">
        <f t="array" ref="D350">ROUND(INDEX(FinancialData[ [ Sales] ],A350)-INDEX(FinancialData[COGS],A350),2)=ROUND(INDEX(FinancialData[Profit],A350),2)</f>
        <v>1</v>
      </c>
    </row>
    <row r="351" spans="1:4" x14ac:dyDescent="0.3">
      <c r="A351">
        <v>350</v>
      </c>
      <c r="B351" t="b">
        <f>ROUND(INDEX(FinancialData[Units Sold],1)*INDEX(FinancialData[Sale Price],1),2)=ROUND(INDEX(FinancialData[Gross Sales],1),2)</f>
        <v>1</v>
      </c>
      <c r="C351" s="12" t="b" cm="1">
        <f t="array" ref="C351">ROUND(INDEX(FinancialData[Gross Sales],A351)-INDEX(FinancialData[Discounts],A351),2)=ROUND(INDEX(FinancialData[ [ Sales] ],A351),2)</f>
        <v>1</v>
      </c>
      <c r="D351" t="b" cm="1">
        <f t="array" ref="D351">ROUND(INDEX(FinancialData[ [ Sales] ],A351)-INDEX(FinancialData[COGS],A351),2)=ROUND(INDEX(FinancialData[Profit],A351),2)</f>
        <v>1</v>
      </c>
    </row>
    <row r="352" spans="1:4" x14ac:dyDescent="0.3">
      <c r="A352">
        <v>351</v>
      </c>
      <c r="B352" t="b">
        <f>ROUND(INDEX(FinancialData[Units Sold],1)*INDEX(FinancialData[Sale Price],1),2)=ROUND(INDEX(FinancialData[Gross Sales],1),2)</f>
        <v>1</v>
      </c>
      <c r="C352" s="12" t="b" cm="1">
        <f t="array" ref="C352">ROUND(INDEX(FinancialData[Gross Sales],A352)-INDEX(FinancialData[Discounts],A352),2)=ROUND(INDEX(FinancialData[ [ Sales] ],A352),2)</f>
        <v>1</v>
      </c>
      <c r="D352" t="b" cm="1">
        <f t="array" ref="D352">ROUND(INDEX(FinancialData[ [ Sales] ],A352)-INDEX(FinancialData[COGS],A352),2)=ROUND(INDEX(FinancialData[Profit],A352),2)</f>
        <v>1</v>
      </c>
    </row>
    <row r="353" spans="1:4" x14ac:dyDescent="0.3">
      <c r="A353">
        <v>352</v>
      </c>
      <c r="B353" t="b">
        <f>ROUND(INDEX(FinancialData[Units Sold],1)*INDEX(FinancialData[Sale Price],1),2)=ROUND(INDEX(FinancialData[Gross Sales],1),2)</f>
        <v>1</v>
      </c>
      <c r="C353" s="12" t="b" cm="1">
        <f t="array" ref="C353">ROUND(INDEX(FinancialData[Gross Sales],A353)-INDEX(FinancialData[Discounts],A353),2)=ROUND(INDEX(FinancialData[ [ Sales] ],A353),2)</f>
        <v>1</v>
      </c>
      <c r="D353" t="b" cm="1">
        <f t="array" ref="D353">ROUND(INDEX(FinancialData[ [ Sales] ],A353)-INDEX(FinancialData[COGS],A353),2)=ROUND(INDEX(FinancialData[Profit],A353),2)</f>
        <v>1</v>
      </c>
    </row>
    <row r="354" spans="1:4" x14ac:dyDescent="0.3">
      <c r="A354">
        <v>353</v>
      </c>
      <c r="B354" t="b">
        <f>ROUND(INDEX(FinancialData[Units Sold],1)*INDEX(FinancialData[Sale Price],1),2)=ROUND(INDEX(FinancialData[Gross Sales],1),2)</f>
        <v>1</v>
      </c>
      <c r="C354" s="12" t="b" cm="1">
        <f t="array" ref="C354">ROUND(INDEX(FinancialData[Gross Sales],A354)-INDEX(FinancialData[Discounts],A354),2)=ROUND(INDEX(FinancialData[ [ Sales] ],A354),2)</f>
        <v>1</v>
      </c>
      <c r="D354" t="b" cm="1">
        <f t="array" ref="D354">ROUND(INDEX(FinancialData[ [ Sales] ],A354)-INDEX(FinancialData[COGS],A354),2)=ROUND(INDEX(FinancialData[Profit],A354),2)</f>
        <v>1</v>
      </c>
    </row>
    <row r="355" spans="1:4" x14ac:dyDescent="0.3">
      <c r="A355">
        <v>354</v>
      </c>
      <c r="B355" t="b">
        <f>ROUND(INDEX(FinancialData[Units Sold],1)*INDEX(FinancialData[Sale Price],1),2)=ROUND(INDEX(FinancialData[Gross Sales],1),2)</f>
        <v>1</v>
      </c>
      <c r="C355" s="12" t="b" cm="1">
        <f t="array" ref="C355">ROUND(INDEX(FinancialData[Gross Sales],A355)-INDEX(FinancialData[Discounts],A355),2)=ROUND(INDEX(FinancialData[ [ Sales] ],A355),2)</f>
        <v>1</v>
      </c>
      <c r="D355" t="b" cm="1">
        <f t="array" ref="D355">ROUND(INDEX(FinancialData[ [ Sales] ],A355)-INDEX(FinancialData[COGS],A355),2)=ROUND(INDEX(FinancialData[Profit],A355),2)</f>
        <v>1</v>
      </c>
    </row>
    <row r="356" spans="1:4" x14ac:dyDescent="0.3">
      <c r="A356">
        <v>355</v>
      </c>
      <c r="B356" t="b">
        <f>ROUND(INDEX(FinancialData[Units Sold],1)*INDEX(FinancialData[Sale Price],1),2)=ROUND(INDEX(FinancialData[Gross Sales],1),2)</f>
        <v>1</v>
      </c>
      <c r="C356" s="12" t="b" cm="1">
        <f t="array" ref="C356">ROUND(INDEX(FinancialData[Gross Sales],A356)-INDEX(FinancialData[Discounts],A356),2)=ROUND(INDEX(FinancialData[ [ Sales] ],A356),2)</f>
        <v>1</v>
      </c>
      <c r="D356" t="b" cm="1">
        <f t="array" ref="D356">ROUND(INDEX(FinancialData[ [ Sales] ],A356)-INDEX(FinancialData[COGS],A356),2)=ROUND(INDEX(FinancialData[Profit],A356),2)</f>
        <v>1</v>
      </c>
    </row>
    <row r="357" spans="1:4" x14ac:dyDescent="0.3">
      <c r="A357">
        <v>356</v>
      </c>
      <c r="B357" t="b">
        <f>ROUND(INDEX(FinancialData[Units Sold],1)*INDEX(FinancialData[Sale Price],1),2)=ROUND(INDEX(FinancialData[Gross Sales],1),2)</f>
        <v>1</v>
      </c>
      <c r="C357" s="12" t="b" cm="1">
        <f t="array" ref="C357">ROUND(INDEX(FinancialData[Gross Sales],A357)-INDEX(FinancialData[Discounts],A357),2)=ROUND(INDEX(FinancialData[ [ Sales] ],A357),2)</f>
        <v>1</v>
      </c>
      <c r="D357" t="b" cm="1">
        <f t="array" ref="D357">ROUND(INDEX(FinancialData[ [ Sales] ],A357)-INDEX(FinancialData[COGS],A357),2)=ROUND(INDEX(FinancialData[Profit],A357),2)</f>
        <v>1</v>
      </c>
    </row>
    <row r="358" spans="1:4" x14ac:dyDescent="0.3">
      <c r="A358">
        <v>357</v>
      </c>
      <c r="B358" t="b">
        <f>ROUND(INDEX(FinancialData[Units Sold],1)*INDEX(FinancialData[Sale Price],1),2)=ROUND(INDEX(FinancialData[Gross Sales],1),2)</f>
        <v>1</v>
      </c>
      <c r="C358" s="12" t="b" cm="1">
        <f t="array" ref="C358">ROUND(INDEX(FinancialData[Gross Sales],A358)-INDEX(FinancialData[Discounts],A358),2)=ROUND(INDEX(FinancialData[ [ Sales] ],A358),2)</f>
        <v>1</v>
      </c>
      <c r="D358" t="b" cm="1">
        <f t="array" ref="D358">ROUND(INDEX(FinancialData[ [ Sales] ],A358)-INDEX(FinancialData[COGS],A358),2)=ROUND(INDEX(FinancialData[Profit],A358),2)</f>
        <v>1</v>
      </c>
    </row>
    <row r="359" spans="1:4" x14ac:dyDescent="0.3">
      <c r="A359">
        <v>358</v>
      </c>
      <c r="B359" t="b">
        <f>ROUND(INDEX(FinancialData[Units Sold],1)*INDEX(FinancialData[Sale Price],1),2)=ROUND(INDEX(FinancialData[Gross Sales],1),2)</f>
        <v>1</v>
      </c>
      <c r="C359" s="12" t="b" cm="1">
        <f t="array" ref="C359">ROUND(INDEX(FinancialData[Gross Sales],A359)-INDEX(FinancialData[Discounts],A359),2)=ROUND(INDEX(FinancialData[ [ Sales] ],A359),2)</f>
        <v>1</v>
      </c>
      <c r="D359" t="b" cm="1">
        <f t="array" ref="D359">ROUND(INDEX(FinancialData[ [ Sales] ],A359)-INDEX(FinancialData[COGS],A359),2)=ROUND(INDEX(FinancialData[Profit],A359),2)</f>
        <v>1</v>
      </c>
    </row>
    <row r="360" spans="1:4" x14ac:dyDescent="0.3">
      <c r="A360">
        <v>359</v>
      </c>
      <c r="B360" t="b">
        <f>ROUND(INDEX(FinancialData[Units Sold],1)*INDEX(FinancialData[Sale Price],1),2)=ROUND(INDEX(FinancialData[Gross Sales],1),2)</f>
        <v>1</v>
      </c>
      <c r="C360" s="12" t="b" cm="1">
        <f t="array" ref="C360">ROUND(INDEX(FinancialData[Gross Sales],A360)-INDEX(FinancialData[Discounts],A360),2)=ROUND(INDEX(FinancialData[ [ Sales] ],A360),2)</f>
        <v>1</v>
      </c>
      <c r="D360" t="b" cm="1">
        <f t="array" ref="D360">ROUND(INDEX(FinancialData[ [ Sales] ],A360)-INDEX(FinancialData[COGS],A360),2)=ROUND(INDEX(FinancialData[Profit],A360),2)</f>
        <v>1</v>
      </c>
    </row>
    <row r="361" spans="1:4" x14ac:dyDescent="0.3">
      <c r="A361">
        <v>360</v>
      </c>
      <c r="B361" t="b">
        <f>ROUND(INDEX(FinancialData[Units Sold],1)*INDEX(FinancialData[Sale Price],1),2)=ROUND(INDEX(FinancialData[Gross Sales],1),2)</f>
        <v>1</v>
      </c>
      <c r="C361" s="12" t="b" cm="1">
        <f t="array" ref="C361">ROUND(INDEX(FinancialData[Gross Sales],A361)-INDEX(FinancialData[Discounts],A361),2)=ROUND(INDEX(FinancialData[ [ Sales] ],A361),2)</f>
        <v>1</v>
      </c>
      <c r="D361" t="b" cm="1">
        <f t="array" ref="D361">ROUND(INDEX(FinancialData[ [ Sales] ],A361)-INDEX(FinancialData[COGS],A361),2)=ROUND(INDEX(FinancialData[Profit],A361),2)</f>
        <v>1</v>
      </c>
    </row>
    <row r="362" spans="1:4" x14ac:dyDescent="0.3">
      <c r="A362">
        <v>361</v>
      </c>
      <c r="B362" t="b">
        <f>ROUND(INDEX(FinancialData[Units Sold],1)*INDEX(FinancialData[Sale Price],1),2)=ROUND(INDEX(FinancialData[Gross Sales],1),2)</f>
        <v>1</v>
      </c>
      <c r="C362" s="12" t="b" cm="1">
        <f t="array" ref="C362">ROUND(INDEX(FinancialData[Gross Sales],A362)-INDEX(FinancialData[Discounts],A362),2)=ROUND(INDEX(FinancialData[ [ Sales] ],A362),2)</f>
        <v>1</v>
      </c>
      <c r="D362" t="b" cm="1">
        <f t="array" ref="D362">ROUND(INDEX(FinancialData[ [ Sales] ],A362)-INDEX(FinancialData[COGS],A362),2)=ROUND(INDEX(FinancialData[Profit],A362),2)</f>
        <v>1</v>
      </c>
    </row>
    <row r="363" spans="1:4" x14ac:dyDescent="0.3">
      <c r="A363">
        <v>362</v>
      </c>
      <c r="B363" t="b">
        <f>ROUND(INDEX(FinancialData[Units Sold],1)*INDEX(FinancialData[Sale Price],1),2)=ROUND(INDEX(FinancialData[Gross Sales],1),2)</f>
        <v>1</v>
      </c>
      <c r="C363" s="12" t="b" cm="1">
        <f t="array" ref="C363">ROUND(INDEX(FinancialData[Gross Sales],A363)-INDEX(FinancialData[Discounts],A363),2)=ROUND(INDEX(FinancialData[ [ Sales] ],A363),2)</f>
        <v>1</v>
      </c>
      <c r="D363" t="b" cm="1">
        <f t="array" ref="D363">ROUND(INDEX(FinancialData[ [ Sales] ],A363)-INDEX(FinancialData[COGS],A363),2)=ROUND(INDEX(FinancialData[Profit],A363),2)</f>
        <v>1</v>
      </c>
    </row>
    <row r="364" spans="1:4" x14ac:dyDescent="0.3">
      <c r="A364">
        <v>363</v>
      </c>
      <c r="B364" t="b">
        <f>ROUND(INDEX(FinancialData[Units Sold],1)*INDEX(FinancialData[Sale Price],1),2)=ROUND(INDEX(FinancialData[Gross Sales],1),2)</f>
        <v>1</v>
      </c>
      <c r="C364" s="12" t="b" cm="1">
        <f t="array" ref="C364">ROUND(INDEX(FinancialData[Gross Sales],A364)-INDEX(FinancialData[Discounts],A364),2)=ROUND(INDEX(FinancialData[ [ Sales] ],A364),2)</f>
        <v>1</v>
      </c>
      <c r="D364" t="b" cm="1">
        <f t="array" ref="D364">ROUND(INDEX(FinancialData[ [ Sales] ],A364)-INDEX(FinancialData[COGS],A364),2)=ROUND(INDEX(FinancialData[Profit],A364),2)</f>
        <v>1</v>
      </c>
    </row>
    <row r="365" spans="1:4" x14ac:dyDescent="0.3">
      <c r="A365">
        <v>364</v>
      </c>
      <c r="B365" t="b">
        <f>ROUND(INDEX(FinancialData[Units Sold],1)*INDEX(FinancialData[Sale Price],1),2)=ROUND(INDEX(FinancialData[Gross Sales],1),2)</f>
        <v>1</v>
      </c>
      <c r="C365" s="12" t="b" cm="1">
        <f t="array" ref="C365">ROUND(INDEX(FinancialData[Gross Sales],A365)-INDEX(FinancialData[Discounts],A365),2)=ROUND(INDEX(FinancialData[ [ Sales] ],A365),2)</f>
        <v>1</v>
      </c>
      <c r="D365" t="b" cm="1">
        <f t="array" ref="D365">ROUND(INDEX(FinancialData[ [ Sales] ],A365)-INDEX(FinancialData[COGS],A365),2)=ROUND(INDEX(FinancialData[Profit],A365),2)</f>
        <v>1</v>
      </c>
    </row>
    <row r="366" spans="1:4" x14ac:dyDescent="0.3">
      <c r="A366">
        <v>365</v>
      </c>
      <c r="B366" t="b">
        <f>ROUND(INDEX(FinancialData[Units Sold],1)*INDEX(FinancialData[Sale Price],1),2)=ROUND(INDEX(FinancialData[Gross Sales],1),2)</f>
        <v>1</v>
      </c>
      <c r="C366" s="12" t="b" cm="1">
        <f t="array" ref="C366">ROUND(INDEX(FinancialData[Gross Sales],A366)-INDEX(FinancialData[Discounts],A366),2)=ROUND(INDEX(FinancialData[ [ Sales] ],A366),2)</f>
        <v>1</v>
      </c>
      <c r="D366" t="b" cm="1">
        <f t="array" ref="D366">ROUND(INDEX(FinancialData[ [ Sales] ],A366)-INDEX(FinancialData[COGS],A366),2)=ROUND(INDEX(FinancialData[Profit],A366),2)</f>
        <v>1</v>
      </c>
    </row>
    <row r="367" spans="1:4" x14ac:dyDescent="0.3">
      <c r="A367">
        <v>366</v>
      </c>
      <c r="B367" t="b">
        <f>ROUND(INDEX(FinancialData[Units Sold],1)*INDEX(FinancialData[Sale Price],1),2)=ROUND(INDEX(FinancialData[Gross Sales],1),2)</f>
        <v>1</v>
      </c>
      <c r="C367" s="12" t="b" cm="1">
        <f t="array" ref="C367">ROUND(INDEX(FinancialData[Gross Sales],A367)-INDEX(FinancialData[Discounts],A367),2)=ROUND(INDEX(FinancialData[ [ Sales] ],A367),2)</f>
        <v>1</v>
      </c>
      <c r="D367" t="b" cm="1">
        <f t="array" ref="D367">ROUND(INDEX(FinancialData[ [ Sales] ],A367)-INDEX(FinancialData[COGS],A367),2)=ROUND(INDEX(FinancialData[Profit],A367),2)</f>
        <v>1</v>
      </c>
    </row>
    <row r="368" spans="1:4" x14ac:dyDescent="0.3">
      <c r="A368">
        <v>367</v>
      </c>
      <c r="B368" t="b">
        <f>ROUND(INDEX(FinancialData[Units Sold],1)*INDEX(FinancialData[Sale Price],1),2)=ROUND(INDEX(FinancialData[Gross Sales],1),2)</f>
        <v>1</v>
      </c>
      <c r="C368" s="12" t="b" cm="1">
        <f t="array" ref="C368">ROUND(INDEX(FinancialData[Gross Sales],A368)-INDEX(FinancialData[Discounts],A368),2)=ROUND(INDEX(FinancialData[ [ Sales] ],A368),2)</f>
        <v>1</v>
      </c>
      <c r="D368" t="b" cm="1">
        <f t="array" ref="D368">ROUND(INDEX(FinancialData[ [ Sales] ],A368)-INDEX(FinancialData[COGS],A368),2)=ROUND(INDEX(FinancialData[Profit],A368),2)</f>
        <v>1</v>
      </c>
    </row>
    <row r="369" spans="1:4" x14ac:dyDescent="0.3">
      <c r="A369">
        <v>368</v>
      </c>
      <c r="B369" t="b">
        <f>ROUND(INDEX(FinancialData[Units Sold],1)*INDEX(FinancialData[Sale Price],1),2)=ROUND(INDEX(FinancialData[Gross Sales],1),2)</f>
        <v>1</v>
      </c>
      <c r="C369" s="12" t="b" cm="1">
        <f t="array" ref="C369">ROUND(INDEX(FinancialData[Gross Sales],A369)-INDEX(FinancialData[Discounts],A369),2)=ROUND(INDEX(FinancialData[ [ Sales] ],A369),2)</f>
        <v>1</v>
      </c>
      <c r="D369" t="b" cm="1">
        <f t="array" ref="D369">ROUND(INDEX(FinancialData[ [ Sales] ],A369)-INDEX(FinancialData[COGS],A369),2)=ROUND(INDEX(FinancialData[Profit],A369),2)</f>
        <v>1</v>
      </c>
    </row>
    <row r="370" spans="1:4" x14ac:dyDescent="0.3">
      <c r="A370">
        <v>369</v>
      </c>
      <c r="B370" t="b">
        <f>ROUND(INDEX(FinancialData[Units Sold],1)*INDEX(FinancialData[Sale Price],1),2)=ROUND(INDEX(FinancialData[Gross Sales],1),2)</f>
        <v>1</v>
      </c>
      <c r="C370" s="12" t="b" cm="1">
        <f t="array" ref="C370">ROUND(INDEX(FinancialData[Gross Sales],A370)-INDEX(FinancialData[Discounts],A370),2)=ROUND(INDEX(FinancialData[ [ Sales] ],A370),2)</f>
        <v>1</v>
      </c>
      <c r="D370" t="b" cm="1">
        <f t="array" ref="D370">ROUND(INDEX(FinancialData[ [ Sales] ],A370)-INDEX(FinancialData[COGS],A370),2)=ROUND(INDEX(FinancialData[Profit],A370),2)</f>
        <v>1</v>
      </c>
    </row>
    <row r="371" spans="1:4" x14ac:dyDescent="0.3">
      <c r="A371">
        <v>370</v>
      </c>
      <c r="B371" t="b">
        <f>ROUND(INDEX(FinancialData[Units Sold],1)*INDEX(FinancialData[Sale Price],1),2)=ROUND(INDEX(FinancialData[Gross Sales],1),2)</f>
        <v>1</v>
      </c>
      <c r="C371" s="12" t="b" cm="1">
        <f t="array" ref="C371">ROUND(INDEX(FinancialData[Gross Sales],A371)-INDEX(FinancialData[Discounts],A371),2)=ROUND(INDEX(FinancialData[ [ Sales] ],A371),2)</f>
        <v>1</v>
      </c>
      <c r="D371" t="b" cm="1">
        <f t="array" ref="D371">ROUND(INDEX(FinancialData[ [ Sales] ],A371)-INDEX(FinancialData[COGS],A371),2)=ROUND(INDEX(FinancialData[Profit],A371),2)</f>
        <v>1</v>
      </c>
    </row>
    <row r="372" spans="1:4" x14ac:dyDescent="0.3">
      <c r="A372">
        <v>371</v>
      </c>
      <c r="B372" t="b">
        <f>ROUND(INDEX(FinancialData[Units Sold],1)*INDEX(FinancialData[Sale Price],1),2)=ROUND(INDEX(FinancialData[Gross Sales],1),2)</f>
        <v>1</v>
      </c>
      <c r="C372" s="12" t="b" cm="1">
        <f t="array" ref="C372">ROUND(INDEX(FinancialData[Gross Sales],A372)-INDEX(FinancialData[Discounts],A372),2)=ROUND(INDEX(FinancialData[ [ Sales] ],A372),2)</f>
        <v>1</v>
      </c>
      <c r="D372" t="b" cm="1">
        <f t="array" ref="D372">ROUND(INDEX(FinancialData[ [ Sales] ],A372)-INDEX(FinancialData[COGS],A372),2)=ROUND(INDEX(FinancialData[Profit],A372),2)</f>
        <v>1</v>
      </c>
    </row>
    <row r="373" spans="1:4" x14ac:dyDescent="0.3">
      <c r="A373">
        <v>372</v>
      </c>
      <c r="B373" t="b">
        <f>ROUND(INDEX(FinancialData[Units Sold],1)*INDEX(FinancialData[Sale Price],1),2)=ROUND(INDEX(FinancialData[Gross Sales],1),2)</f>
        <v>1</v>
      </c>
      <c r="C373" s="12" t="b" cm="1">
        <f t="array" ref="C373">ROUND(INDEX(FinancialData[Gross Sales],A373)-INDEX(FinancialData[Discounts],A373),2)=ROUND(INDEX(FinancialData[ [ Sales] ],A373),2)</f>
        <v>1</v>
      </c>
      <c r="D373" t="b" cm="1">
        <f t="array" ref="D373">ROUND(INDEX(FinancialData[ [ Sales] ],A373)-INDEX(FinancialData[COGS],A373),2)=ROUND(INDEX(FinancialData[Profit],A373),2)</f>
        <v>1</v>
      </c>
    </row>
    <row r="374" spans="1:4" x14ac:dyDescent="0.3">
      <c r="A374">
        <v>373</v>
      </c>
      <c r="B374" t="b">
        <f>ROUND(INDEX(FinancialData[Units Sold],1)*INDEX(FinancialData[Sale Price],1),2)=ROUND(INDEX(FinancialData[Gross Sales],1),2)</f>
        <v>1</v>
      </c>
      <c r="C374" s="12" t="b" cm="1">
        <f t="array" ref="C374">ROUND(INDEX(FinancialData[Gross Sales],A374)-INDEX(FinancialData[Discounts],A374),2)=ROUND(INDEX(FinancialData[ [ Sales] ],A374),2)</f>
        <v>1</v>
      </c>
      <c r="D374" t="b" cm="1">
        <f t="array" ref="D374">ROUND(INDEX(FinancialData[ [ Sales] ],A374)-INDEX(FinancialData[COGS],A374),2)=ROUND(INDEX(FinancialData[Profit],A374),2)</f>
        <v>1</v>
      </c>
    </row>
    <row r="375" spans="1:4" x14ac:dyDescent="0.3">
      <c r="A375">
        <v>374</v>
      </c>
      <c r="B375" t="b">
        <f>ROUND(INDEX(FinancialData[Units Sold],1)*INDEX(FinancialData[Sale Price],1),2)=ROUND(INDEX(FinancialData[Gross Sales],1),2)</f>
        <v>1</v>
      </c>
      <c r="C375" s="12" t="b" cm="1">
        <f t="array" ref="C375">ROUND(INDEX(FinancialData[Gross Sales],A375)-INDEX(FinancialData[Discounts],A375),2)=ROUND(INDEX(FinancialData[ [ Sales] ],A375),2)</f>
        <v>1</v>
      </c>
      <c r="D375" t="b" cm="1">
        <f t="array" ref="D375">ROUND(INDEX(FinancialData[ [ Sales] ],A375)-INDEX(FinancialData[COGS],A375),2)=ROUND(INDEX(FinancialData[Profit],A375),2)</f>
        <v>1</v>
      </c>
    </row>
    <row r="376" spans="1:4" x14ac:dyDescent="0.3">
      <c r="A376">
        <v>375</v>
      </c>
      <c r="B376" t="b">
        <f>ROUND(INDEX(FinancialData[Units Sold],1)*INDEX(FinancialData[Sale Price],1),2)=ROUND(INDEX(FinancialData[Gross Sales],1),2)</f>
        <v>1</v>
      </c>
      <c r="C376" s="12" t="b" cm="1">
        <f t="array" ref="C376">ROUND(INDEX(FinancialData[Gross Sales],A376)-INDEX(FinancialData[Discounts],A376),2)=ROUND(INDEX(FinancialData[ [ Sales] ],A376),2)</f>
        <v>1</v>
      </c>
      <c r="D376" t="b" cm="1">
        <f t="array" ref="D376">ROUND(INDEX(FinancialData[ [ Sales] ],A376)-INDEX(FinancialData[COGS],A376),2)=ROUND(INDEX(FinancialData[Profit],A376),2)</f>
        <v>1</v>
      </c>
    </row>
    <row r="377" spans="1:4" x14ac:dyDescent="0.3">
      <c r="A377">
        <v>376</v>
      </c>
      <c r="B377" t="b">
        <f>ROUND(INDEX(FinancialData[Units Sold],1)*INDEX(FinancialData[Sale Price],1),2)=ROUND(INDEX(FinancialData[Gross Sales],1),2)</f>
        <v>1</v>
      </c>
      <c r="C377" s="12" t="b" cm="1">
        <f t="array" ref="C377">ROUND(INDEX(FinancialData[Gross Sales],A377)-INDEX(FinancialData[Discounts],A377),2)=ROUND(INDEX(FinancialData[ [ Sales] ],A377),2)</f>
        <v>1</v>
      </c>
      <c r="D377" t="b" cm="1">
        <f t="array" ref="D377">ROUND(INDEX(FinancialData[ [ Sales] ],A377)-INDEX(FinancialData[COGS],A377),2)=ROUND(INDEX(FinancialData[Profit],A377),2)</f>
        <v>1</v>
      </c>
    </row>
    <row r="378" spans="1:4" x14ac:dyDescent="0.3">
      <c r="A378">
        <v>377</v>
      </c>
      <c r="B378" t="b">
        <f>ROUND(INDEX(FinancialData[Units Sold],1)*INDEX(FinancialData[Sale Price],1),2)=ROUND(INDEX(FinancialData[Gross Sales],1),2)</f>
        <v>1</v>
      </c>
      <c r="C378" s="12" t="b" cm="1">
        <f t="array" ref="C378">ROUND(INDEX(FinancialData[Gross Sales],A378)-INDEX(FinancialData[Discounts],A378),2)=ROUND(INDEX(FinancialData[ [ Sales] ],A378),2)</f>
        <v>1</v>
      </c>
      <c r="D378" t="b" cm="1">
        <f t="array" ref="D378">ROUND(INDEX(FinancialData[ [ Sales] ],A378)-INDEX(FinancialData[COGS],A378),2)=ROUND(INDEX(FinancialData[Profit],A378),2)</f>
        <v>1</v>
      </c>
    </row>
    <row r="379" spans="1:4" x14ac:dyDescent="0.3">
      <c r="A379">
        <v>378</v>
      </c>
      <c r="B379" t="b">
        <f>ROUND(INDEX(FinancialData[Units Sold],1)*INDEX(FinancialData[Sale Price],1),2)=ROUND(INDEX(FinancialData[Gross Sales],1),2)</f>
        <v>1</v>
      </c>
      <c r="C379" s="12" t="b" cm="1">
        <f t="array" ref="C379">ROUND(INDEX(FinancialData[Gross Sales],A379)-INDEX(FinancialData[Discounts],A379),2)=ROUND(INDEX(FinancialData[ [ Sales] ],A379),2)</f>
        <v>1</v>
      </c>
      <c r="D379" t="b" cm="1">
        <f t="array" ref="D379">ROUND(INDEX(FinancialData[ [ Sales] ],A379)-INDEX(FinancialData[COGS],A379),2)=ROUND(INDEX(FinancialData[Profit],A379),2)</f>
        <v>1</v>
      </c>
    </row>
    <row r="380" spans="1:4" x14ac:dyDescent="0.3">
      <c r="A380">
        <v>379</v>
      </c>
      <c r="B380" t="b">
        <f>ROUND(INDEX(FinancialData[Units Sold],1)*INDEX(FinancialData[Sale Price],1),2)=ROUND(INDEX(FinancialData[Gross Sales],1),2)</f>
        <v>1</v>
      </c>
      <c r="C380" s="12" t="b" cm="1">
        <f t="array" ref="C380">ROUND(INDEX(FinancialData[Gross Sales],A380)-INDEX(FinancialData[Discounts],A380),2)=ROUND(INDEX(FinancialData[ [ Sales] ],A380),2)</f>
        <v>1</v>
      </c>
      <c r="D380" t="b" cm="1">
        <f t="array" ref="D380">ROUND(INDEX(FinancialData[ [ Sales] ],A380)-INDEX(FinancialData[COGS],A380),2)=ROUND(INDEX(FinancialData[Profit],A380),2)</f>
        <v>1</v>
      </c>
    </row>
    <row r="381" spans="1:4" x14ac:dyDescent="0.3">
      <c r="A381">
        <v>380</v>
      </c>
      <c r="B381" t="b">
        <f>ROUND(INDEX(FinancialData[Units Sold],1)*INDEX(FinancialData[Sale Price],1),2)=ROUND(INDEX(FinancialData[Gross Sales],1),2)</f>
        <v>1</v>
      </c>
      <c r="C381" s="12" t="b" cm="1">
        <f t="array" ref="C381">ROUND(INDEX(FinancialData[Gross Sales],A381)-INDEX(FinancialData[Discounts],A381),2)=ROUND(INDEX(FinancialData[ [ Sales] ],A381),2)</f>
        <v>1</v>
      </c>
      <c r="D381" t="b" cm="1">
        <f t="array" ref="D381">ROUND(INDEX(FinancialData[ [ Sales] ],A381)-INDEX(FinancialData[COGS],A381),2)=ROUND(INDEX(FinancialData[Profit],A381),2)</f>
        <v>1</v>
      </c>
    </row>
    <row r="382" spans="1:4" x14ac:dyDescent="0.3">
      <c r="A382">
        <v>381</v>
      </c>
      <c r="B382" t="b">
        <f>ROUND(INDEX(FinancialData[Units Sold],1)*INDEX(FinancialData[Sale Price],1),2)=ROUND(INDEX(FinancialData[Gross Sales],1),2)</f>
        <v>1</v>
      </c>
      <c r="C382" s="12" t="b" cm="1">
        <f t="array" ref="C382">ROUND(INDEX(FinancialData[Gross Sales],A382)-INDEX(FinancialData[Discounts],A382),2)=ROUND(INDEX(FinancialData[ [ Sales] ],A382),2)</f>
        <v>1</v>
      </c>
      <c r="D382" t="b" cm="1">
        <f t="array" ref="D382">ROUND(INDEX(FinancialData[ [ Sales] ],A382)-INDEX(FinancialData[COGS],A382),2)=ROUND(INDEX(FinancialData[Profit],A382),2)</f>
        <v>1</v>
      </c>
    </row>
    <row r="383" spans="1:4" x14ac:dyDescent="0.3">
      <c r="A383">
        <v>382</v>
      </c>
      <c r="B383" t="b">
        <f>ROUND(INDEX(FinancialData[Units Sold],1)*INDEX(FinancialData[Sale Price],1),2)=ROUND(INDEX(FinancialData[Gross Sales],1),2)</f>
        <v>1</v>
      </c>
      <c r="C383" s="12" t="b" cm="1">
        <f t="array" ref="C383">ROUND(INDEX(FinancialData[Gross Sales],A383)-INDEX(FinancialData[Discounts],A383),2)=ROUND(INDEX(FinancialData[ [ Sales] ],A383),2)</f>
        <v>1</v>
      </c>
      <c r="D383" t="b" cm="1">
        <f t="array" ref="D383">ROUND(INDEX(FinancialData[ [ Sales] ],A383)-INDEX(FinancialData[COGS],A383),2)=ROUND(INDEX(FinancialData[Profit],A383),2)</f>
        <v>1</v>
      </c>
    </row>
    <row r="384" spans="1:4" x14ac:dyDescent="0.3">
      <c r="A384">
        <v>383</v>
      </c>
      <c r="B384" t="b">
        <f>ROUND(INDEX(FinancialData[Units Sold],1)*INDEX(FinancialData[Sale Price],1),2)=ROUND(INDEX(FinancialData[Gross Sales],1),2)</f>
        <v>1</v>
      </c>
      <c r="C384" s="12" t="b" cm="1">
        <f t="array" ref="C384">ROUND(INDEX(FinancialData[Gross Sales],A384)-INDEX(FinancialData[Discounts],A384),2)=ROUND(INDEX(FinancialData[ [ Sales] ],A384),2)</f>
        <v>1</v>
      </c>
      <c r="D384" t="b" cm="1">
        <f t="array" ref="D384">ROUND(INDEX(FinancialData[ [ Sales] ],A384)-INDEX(FinancialData[COGS],A384),2)=ROUND(INDEX(FinancialData[Profit],A384),2)</f>
        <v>1</v>
      </c>
    </row>
    <row r="385" spans="1:4" x14ac:dyDescent="0.3">
      <c r="A385">
        <v>384</v>
      </c>
      <c r="B385" t="b">
        <f>ROUND(INDEX(FinancialData[Units Sold],1)*INDEX(FinancialData[Sale Price],1),2)=ROUND(INDEX(FinancialData[Gross Sales],1),2)</f>
        <v>1</v>
      </c>
      <c r="C385" s="12" t="b" cm="1">
        <f t="array" ref="C385">ROUND(INDEX(FinancialData[Gross Sales],A385)-INDEX(FinancialData[Discounts],A385),2)=ROUND(INDEX(FinancialData[ [ Sales] ],A385),2)</f>
        <v>1</v>
      </c>
      <c r="D385" t="b" cm="1">
        <f t="array" ref="D385">ROUND(INDEX(FinancialData[ [ Sales] ],A385)-INDEX(FinancialData[COGS],A385),2)=ROUND(INDEX(FinancialData[Profit],A385),2)</f>
        <v>1</v>
      </c>
    </row>
    <row r="386" spans="1:4" x14ac:dyDescent="0.3">
      <c r="A386">
        <v>385</v>
      </c>
      <c r="B386" t="b">
        <f>ROUND(INDEX(FinancialData[Units Sold],1)*INDEX(FinancialData[Sale Price],1),2)=ROUND(INDEX(FinancialData[Gross Sales],1),2)</f>
        <v>1</v>
      </c>
      <c r="C386" s="12" t="b" cm="1">
        <f t="array" ref="C386">ROUND(INDEX(FinancialData[Gross Sales],A386)-INDEX(FinancialData[Discounts],A386),2)=ROUND(INDEX(FinancialData[ [ Sales] ],A386),2)</f>
        <v>1</v>
      </c>
      <c r="D386" t="b" cm="1">
        <f t="array" ref="D386">ROUND(INDEX(FinancialData[ [ Sales] ],A386)-INDEX(FinancialData[COGS],A386),2)=ROUND(INDEX(FinancialData[Profit],A386),2)</f>
        <v>1</v>
      </c>
    </row>
    <row r="387" spans="1:4" x14ac:dyDescent="0.3">
      <c r="A387">
        <v>386</v>
      </c>
      <c r="B387" t="b">
        <f>ROUND(INDEX(FinancialData[Units Sold],1)*INDEX(FinancialData[Sale Price],1),2)=ROUND(INDEX(FinancialData[Gross Sales],1),2)</f>
        <v>1</v>
      </c>
      <c r="C387" s="12" t="b" cm="1">
        <f t="array" ref="C387">ROUND(INDEX(FinancialData[Gross Sales],A387)-INDEX(FinancialData[Discounts],A387),2)=ROUND(INDEX(FinancialData[ [ Sales] ],A387),2)</f>
        <v>1</v>
      </c>
      <c r="D387" t="b" cm="1">
        <f t="array" ref="D387">ROUND(INDEX(FinancialData[ [ Sales] ],A387)-INDEX(FinancialData[COGS],A387),2)=ROUND(INDEX(FinancialData[Profit],A387),2)</f>
        <v>1</v>
      </c>
    </row>
    <row r="388" spans="1:4" x14ac:dyDescent="0.3">
      <c r="A388">
        <v>387</v>
      </c>
      <c r="B388" t="b">
        <f>ROUND(INDEX(FinancialData[Units Sold],1)*INDEX(FinancialData[Sale Price],1),2)=ROUND(INDEX(FinancialData[Gross Sales],1),2)</f>
        <v>1</v>
      </c>
      <c r="C388" s="12" t="b" cm="1">
        <f t="array" ref="C388">ROUND(INDEX(FinancialData[Gross Sales],A388)-INDEX(FinancialData[Discounts],A388),2)=ROUND(INDEX(FinancialData[ [ Sales] ],A388),2)</f>
        <v>1</v>
      </c>
      <c r="D388" t="b" cm="1">
        <f t="array" ref="D388">ROUND(INDEX(FinancialData[ [ Sales] ],A388)-INDEX(FinancialData[COGS],A388),2)=ROUND(INDEX(FinancialData[Profit],A388),2)</f>
        <v>1</v>
      </c>
    </row>
    <row r="389" spans="1:4" x14ac:dyDescent="0.3">
      <c r="A389">
        <v>388</v>
      </c>
      <c r="B389" t="b">
        <f>ROUND(INDEX(FinancialData[Units Sold],1)*INDEX(FinancialData[Sale Price],1),2)=ROUND(INDEX(FinancialData[Gross Sales],1),2)</f>
        <v>1</v>
      </c>
      <c r="C389" s="12" t="b" cm="1">
        <f t="array" ref="C389">ROUND(INDEX(FinancialData[Gross Sales],A389)-INDEX(FinancialData[Discounts],A389),2)=ROUND(INDEX(FinancialData[ [ Sales] ],A389),2)</f>
        <v>1</v>
      </c>
      <c r="D389" t="b" cm="1">
        <f t="array" ref="D389">ROUND(INDEX(FinancialData[ [ Sales] ],A389)-INDEX(FinancialData[COGS],A389),2)=ROUND(INDEX(FinancialData[Profit],A389),2)</f>
        <v>1</v>
      </c>
    </row>
    <row r="390" spans="1:4" x14ac:dyDescent="0.3">
      <c r="A390">
        <v>389</v>
      </c>
      <c r="B390" t="b">
        <f>ROUND(INDEX(FinancialData[Units Sold],1)*INDEX(FinancialData[Sale Price],1),2)=ROUND(INDEX(FinancialData[Gross Sales],1),2)</f>
        <v>1</v>
      </c>
      <c r="C390" s="12" t="b" cm="1">
        <f t="array" ref="C390">ROUND(INDEX(FinancialData[Gross Sales],A390)-INDEX(FinancialData[Discounts],A390),2)=ROUND(INDEX(FinancialData[ [ Sales] ],A390),2)</f>
        <v>1</v>
      </c>
      <c r="D390" t="b" cm="1">
        <f t="array" ref="D390">ROUND(INDEX(FinancialData[ [ Sales] ],A390)-INDEX(FinancialData[COGS],A390),2)=ROUND(INDEX(FinancialData[Profit],A390),2)</f>
        <v>1</v>
      </c>
    </row>
    <row r="391" spans="1:4" x14ac:dyDescent="0.3">
      <c r="A391">
        <v>390</v>
      </c>
      <c r="B391" t="b">
        <f>ROUND(INDEX(FinancialData[Units Sold],1)*INDEX(FinancialData[Sale Price],1),2)=ROUND(INDEX(FinancialData[Gross Sales],1),2)</f>
        <v>1</v>
      </c>
      <c r="C391" s="12" t="b" cm="1">
        <f t="array" ref="C391">ROUND(INDEX(FinancialData[Gross Sales],A391)-INDEX(FinancialData[Discounts],A391),2)=ROUND(INDEX(FinancialData[ [ Sales] ],A391),2)</f>
        <v>1</v>
      </c>
      <c r="D391" t="b" cm="1">
        <f t="array" ref="D391">ROUND(INDEX(FinancialData[ [ Sales] ],A391)-INDEX(FinancialData[COGS],A391),2)=ROUND(INDEX(FinancialData[Profit],A391),2)</f>
        <v>1</v>
      </c>
    </row>
    <row r="392" spans="1:4" x14ac:dyDescent="0.3">
      <c r="A392">
        <v>391</v>
      </c>
      <c r="B392" t="b">
        <f>ROUND(INDEX(FinancialData[Units Sold],1)*INDEX(FinancialData[Sale Price],1),2)=ROUND(INDEX(FinancialData[Gross Sales],1),2)</f>
        <v>1</v>
      </c>
      <c r="C392" s="12" t="b" cm="1">
        <f t="array" ref="C392">ROUND(INDEX(FinancialData[Gross Sales],A392)-INDEX(FinancialData[Discounts],A392),2)=ROUND(INDEX(FinancialData[ [ Sales] ],A392),2)</f>
        <v>1</v>
      </c>
      <c r="D392" t="b" cm="1">
        <f t="array" ref="D392">ROUND(INDEX(FinancialData[ [ Sales] ],A392)-INDEX(FinancialData[COGS],A392),2)=ROUND(INDEX(FinancialData[Profit],A392),2)</f>
        <v>1</v>
      </c>
    </row>
    <row r="393" spans="1:4" x14ac:dyDescent="0.3">
      <c r="A393">
        <v>392</v>
      </c>
      <c r="B393" t="b">
        <f>ROUND(INDEX(FinancialData[Units Sold],1)*INDEX(FinancialData[Sale Price],1),2)=ROUND(INDEX(FinancialData[Gross Sales],1),2)</f>
        <v>1</v>
      </c>
      <c r="C393" s="12" t="b" cm="1">
        <f t="array" ref="C393">ROUND(INDEX(FinancialData[Gross Sales],A393)-INDEX(FinancialData[Discounts],A393),2)=ROUND(INDEX(FinancialData[ [ Sales] ],A393),2)</f>
        <v>1</v>
      </c>
      <c r="D393" t="b" cm="1">
        <f t="array" ref="D393">ROUND(INDEX(FinancialData[ [ Sales] ],A393)-INDEX(FinancialData[COGS],A393),2)=ROUND(INDEX(FinancialData[Profit],A393),2)</f>
        <v>1</v>
      </c>
    </row>
    <row r="394" spans="1:4" x14ac:dyDescent="0.3">
      <c r="A394">
        <v>393</v>
      </c>
      <c r="B394" t="b">
        <f>ROUND(INDEX(FinancialData[Units Sold],1)*INDEX(FinancialData[Sale Price],1),2)=ROUND(INDEX(FinancialData[Gross Sales],1),2)</f>
        <v>1</v>
      </c>
      <c r="C394" s="12" t="b" cm="1">
        <f t="array" ref="C394">ROUND(INDEX(FinancialData[Gross Sales],A394)-INDEX(FinancialData[Discounts],A394),2)=ROUND(INDEX(FinancialData[ [ Sales] ],A394),2)</f>
        <v>1</v>
      </c>
      <c r="D394" t="b" cm="1">
        <f t="array" ref="D394">ROUND(INDEX(FinancialData[ [ Sales] ],A394)-INDEX(FinancialData[COGS],A394),2)=ROUND(INDEX(FinancialData[Profit],A394),2)</f>
        <v>1</v>
      </c>
    </row>
    <row r="395" spans="1:4" x14ac:dyDescent="0.3">
      <c r="A395">
        <v>394</v>
      </c>
      <c r="B395" t="b">
        <f>ROUND(INDEX(FinancialData[Units Sold],1)*INDEX(FinancialData[Sale Price],1),2)=ROUND(INDEX(FinancialData[Gross Sales],1),2)</f>
        <v>1</v>
      </c>
      <c r="C395" s="12" t="b" cm="1">
        <f t="array" ref="C395">ROUND(INDEX(FinancialData[Gross Sales],A395)-INDEX(FinancialData[Discounts],A395),2)=ROUND(INDEX(FinancialData[ [ Sales] ],A395),2)</f>
        <v>1</v>
      </c>
      <c r="D395" t="b" cm="1">
        <f t="array" ref="D395">ROUND(INDEX(FinancialData[ [ Sales] ],A395)-INDEX(FinancialData[COGS],A395),2)=ROUND(INDEX(FinancialData[Profit],A395),2)</f>
        <v>1</v>
      </c>
    </row>
    <row r="396" spans="1:4" x14ac:dyDescent="0.3">
      <c r="A396">
        <v>395</v>
      </c>
      <c r="B396" t="b">
        <f>ROUND(INDEX(FinancialData[Units Sold],1)*INDEX(FinancialData[Sale Price],1),2)=ROUND(INDEX(FinancialData[Gross Sales],1),2)</f>
        <v>1</v>
      </c>
      <c r="C396" s="12" t="b" cm="1">
        <f t="array" ref="C396">ROUND(INDEX(FinancialData[Gross Sales],A396)-INDEX(FinancialData[Discounts],A396),2)=ROUND(INDEX(FinancialData[ [ Sales] ],A396),2)</f>
        <v>1</v>
      </c>
      <c r="D396" t="b" cm="1">
        <f t="array" ref="D396">ROUND(INDEX(FinancialData[ [ Sales] ],A396)-INDEX(FinancialData[COGS],A396),2)=ROUND(INDEX(FinancialData[Profit],A396),2)</f>
        <v>1</v>
      </c>
    </row>
    <row r="397" spans="1:4" x14ac:dyDescent="0.3">
      <c r="A397">
        <v>396</v>
      </c>
      <c r="B397" t="b">
        <f>ROUND(INDEX(FinancialData[Units Sold],1)*INDEX(FinancialData[Sale Price],1),2)=ROUND(INDEX(FinancialData[Gross Sales],1),2)</f>
        <v>1</v>
      </c>
      <c r="C397" s="12" t="b" cm="1">
        <f t="array" ref="C397">ROUND(INDEX(FinancialData[Gross Sales],A397)-INDEX(FinancialData[Discounts],A397),2)=ROUND(INDEX(FinancialData[ [ Sales] ],A397),2)</f>
        <v>1</v>
      </c>
      <c r="D397" t="b" cm="1">
        <f t="array" ref="D397">ROUND(INDEX(FinancialData[ [ Sales] ],A397)-INDEX(FinancialData[COGS],A397),2)=ROUND(INDEX(FinancialData[Profit],A397),2)</f>
        <v>1</v>
      </c>
    </row>
    <row r="398" spans="1:4" x14ac:dyDescent="0.3">
      <c r="A398">
        <v>397</v>
      </c>
      <c r="B398" t="b">
        <f>ROUND(INDEX(FinancialData[Units Sold],1)*INDEX(FinancialData[Sale Price],1),2)=ROUND(INDEX(FinancialData[Gross Sales],1),2)</f>
        <v>1</v>
      </c>
      <c r="C398" s="12" t="b" cm="1">
        <f t="array" ref="C398">ROUND(INDEX(FinancialData[Gross Sales],A398)-INDEX(FinancialData[Discounts],A398),2)=ROUND(INDEX(FinancialData[ [ Sales] ],A398),2)</f>
        <v>1</v>
      </c>
      <c r="D398" t="b" cm="1">
        <f t="array" ref="D398">ROUND(INDEX(FinancialData[ [ Sales] ],A398)-INDEX(FinancialData[COGS],A398),2)=ROUND(INDEX(FinancialData[Profit],A398),2)</f>
        <v>1</v>
      </c>
    </row>
    <row r="399" spans="1:4" x14ac:dyDescent="0.3">
      <c r="A399">
        <v>398</v>
      </c>
      <c r="B399" t="b">
        <f>ROUND(INDEX(FinancialData[Units Sold],1)*INDEX(FinancialData[Sale Price],1),2)=ROUND(INDEX(FinancialData[Gross Sales],1),2)</f>
        <v>1</v>
      </c>
      <c r="C399" s="12" t="b" cm="1">
        <f t="array" ref="C399">ROUND(INDEX(FinancialData[Gross Sales],A399)-INDEX(FinancialData[Discounts],A399),2)=ROUND(INDEX(FinancialData[ [ Sales] ],A399),2)</f>
        <v>1</v>
      </c>
      <c r="D399" t="b" cm="1">
        <f t="array" ref="D399">ROUND(INDEX(FinancialData[ [ Sales] ],A399)-INDEX(FinancialData[COGS],A399),2)=ROUND(INDEX(FinancialData[Profit],A399),2)</f>
        <v>1</v>
      </c>
    </row>
    <row r="400" spans="1:4" x14ac:dyDescent="0.3">
      <c r="A400">
        <v>399</v>
      </c>
      <c r="B400" t="b">
        <f>ROUND(INDEX(FinancialData[Units Sold],1)*INDEX(FinancialData[Sale Price],1),2)=ROUND(INDEX(FinancialData[Gross Sales],1),2)</f>
        <v>1</v>
      </c>
      <c r="C400" s="12" t="b" cm="1">
        <f t="array" ref="C400">ROUND(INDEX(FinancialData[Gross Sales],A400)-INDEX(FinancialData[Discounts],A400),2)=ROUND(INDEX(FinancialData[ [ Sales] ],A400),2)</f>
        <v>1</v>
      </c>
      <c r="D400" t="b" cm="1">
        <f t="array" ref="D400">ROUND(INDEX(FinancialData[ [ Sales] ],A400)-INDEX(FinancialData[COGS],A400),2)=ROUND(INDEX(FinancialData[Profit],A400),2)</f>
        <v>1</v>
      </c>
    </row>
    <row r="401" spans="1:4" x14ac:dyDescent="0.3">
      <c r="A401">
        <v>400</v>
      </c>
      <c r="B401" t="b">
        <f>ROUND(INDEX(FinancialData[Units Sold],1)*INDEX(FinancialData[Sale Price],1),2)=ROUND(INDEX(FinancialData[Gross Sales],1),2)</f>
        <v>1</v>
      </c>
      <c r="C401" s="12" t="b" cm="1">
        <f t="array" ref="C401">ROUND(INDEX(FinancialData[Gross Sales],A401)-INDEX(FinancialData[Discounts],A401),2)=ROUND(INDEX(FinancialData[ [ Sales] ],A401),2)</f>
        <v>1</v>
      </c>
      <c r="D401" t="b" cm="1">
        <f t="array" ref="D401">ROUND(INDEX(FinancialData[ [ Sales] ],A401)-INDEX(FinancialData[COGS],A401),2)=ROUND(INDEX(FinancialData[Profit],A401),2)</f>
        <v>1</v>
      </c>
    </row>
    <row r="402" spans="1:4" x14ac:dyDescent="0.3">
      <c r="A402">
        <v>401</v>
      </c>
      <c r="B402" t="b">
        <f>ROUND(INDEX(FinancialData[Units Sold],1)*INDEX(FinancialData[Sale Price],1),2)=ROUND(INDEX(FinancialData[Gross Sales],1),2)</f>
        <v>1</v>
      </c>
      <c r="C402" s="12" t="b" cm="1">
        <f t="array" ref="C402">ROUND(INDEX(FinancialData[Gross Sales],A402)-INDEX(FinancialData[Discounts],A402),2)=ROUND(INDEX(FinancialData[ [ Sales] ],A402),2)</f>
        <v>1</v>
      </c>
      <c r="D402" t="b" cm="1">
        <f t="array" ref="D402">ROUND(INDEX(FinancialData[ [ Sales] ],A402)-INDEX(FinancialData[COGS],A402),2)=ROUND(INDEX(FinancialData[Profit],A402),2)</f>
        <v>1</v>
      </c>
    </row>
    <row r="403" spans="1:4" x14ac:dyDescent="0.3">
      <c r="A403">
        <v>402</v>
      </c>
      <c r="B403" t="b">
        <f>ROUND(INDEX(FinancialData[Units Sold],1)*INDEX(FinancialData[Sale Price],1),2)=ROUND(INDEX(FinancialData[Gross Sales],1),2)</f>
        <v>1</v>
      </c>
      <c r="C403" s="12" t="b" cm="1">
        <f t="array" ref="C403">ROUND(INDEX(FinancialData[Gross Sales],A403)-INDEX(FinancialData[Discounts],A403),2)=ROUND(INDEX(FinancialData[ [ Sales] ],A403),2)</f>
        <v>1</v>
      </c>
      <c r="D403" t="b" cm="1">
        <f t="array" ref="D403">ROUND(INDEX(FinancialData[ [ Sales] ],A403)-INDEX(FinancialData[COGS],A403),2)=ROUND(INDEX(FinancialData[Profit],A403),2)</f>
        <v>1</v>
      </c>
    </row>
    <row r="404" spans="1:4" x14ac:dyDescent="0.3">
      <c r="A404">
        <v>403</v>
      </c>
      <c r="B404" t="b">
        <f>ROUND(INDEX(FinancialData[Units Sold],1)*INDEX(FinancialData[Sale Price],1),2)=ROUND(INDEX(FinancialData[Gross Sales],1),2)</f>
        <v>1</v>
      </c>
      <c r="C404" s="12" t="b" cm="1">
        <f t="array" ref="C404">ROUND(INDEX(FinancialData[Gross Sales],A404)-INDEX(FinancialData[Discounts],A404),2)=ROUND(INDEX(FinancialData[ [ Sales] ],A404),2)</f>
        <v>1</v>
      </c>
      <c r="D404" t="b" cm="1">
        <f t="array" ref="D404">ROUND(INDEX(FinancialData[ [ Sales] ],A404)-INDEX(FinancialData[COGS],A404),2)=ROUND(INDEX(FinancialData[Profit],A404),2)</f>
        <v>1</v>
      </c>
    </row>
    <row r="405" spans="1:4" x14ac:dyDescent="0.3">
      <c r="A405">
        <v>404</v>
      </c>
      <c r="B405" t="b">
        <f>ROUND(INDEX(FinancialData[Units Sold],1)*INDEX(FinancialData[Sale Price],1),2)=ROUND(INDEX(FinancialData[Gross Sales],1),2)</f>
        <v>1</v>
      </c>
      <c r="C405" s="12" t="b" cm="1">
        <f t="array" ref="C405">ROUND(INDEX(FinancialData[Gross Sales],A405)-INDEX(FinancialData[Discounts],A405),2)=ROUND(INDEX(FinancialData[ [ Sales] ],A405),2)</f>
        <v>1</v>
      </c>
      <c r="D405" t="b" cm="1">
        <f t="array" ref="D405">ROUND(INDEX(FinancialData[ [ Sales] ],A405)-INDEX(FinancialData[COGS],A405),2)=ROUND(INDEX(FinancialData[Profit],A405),2)</f>
        <v>1</v>
      </c>
    </row>
    <row r="406" spans="1:4" x14ac:dyDescent="0.3">
      <c r="A406">
        <v>405</v>
      </c>
      <c r="B406" t="b">
        <f>ROUND(INDEX(FinancialData[Units Sold],1)*INDEX(FinancialData[Sale Price],1),2)=ROUND(INDEX(FinancialData[Gross Sales],1),2)</f>
        <v>1</v>
      </c>
      <c r="C406" s="12" t="b" cm="1">
        <f t="array" ref="C406">ROUND(INDEX(FinancialData[Gross Sales],A406)-INDEX(FinancialData[Discounts],A406),2)=ROUND(INDEX(FinancialData[ [ Sales] ],A406),2)</f>
        <v>1</v>
      </c>
      <c r="D406" t="b" cm="1">
        <f t="array" ref="D406">ROUND(INDEX(FinancialData[ [ Sales] ],A406)-INDEX(FinancialData[COGS],A406),2)=ROUND(INDEX(FinancialData[Profit],A406),2)</f>
        <v>1</v>
      </c>
    </row>
    <row r="407" spans="1:4" x14ac:dyDescent="0.3">
      <c r="A407">
        <v>406</v>
      </c>
      <c r="B407" t="b">
        <f>ROUND(INDEX(FinancialData[Units Sold],1)*INDEX(FinancialData[Sale Price],1),2)=ROUND(INDEX(FinancialData[Gross Sales],1),2)</f>
        <v>1</v>
      </c>
      <c r="C407" s="12" t="b" cm="1">
        <f t="array" ref="C407">ROUND(INDEX(FinancialData[Gross Sales],A407)-INDEX(FinancialData[Discounts],A407),2)=ROUND(INDEX(FinancialData[ [ Sales] ],A407),2)</f>
        <v>1</v>
      </c>
      <c r="D407" t="b" cm="1">
        <f t="array" ref="D407">ROUND(INDEX(FinancialData[ [ Sales] ],A407)-INDEX(FinancialData[COGS],A407),2)=ROUND(INDEX(FinancialData[Profit],A407),2)</f>
        <v>1</v>
      </c>
    </row>
    <row r="408" spans="1:4" x14ac:dyDescent="0.3">
      <c r="A408">
        <v>407</v>
      </c>
      <c r="B408" t="b">
        <f>ROUND(INDEX(FinancialData[Units Sold],1)*INDEX(FinancialData[Sale Price],1),2)=ROUND(INDEX(FinancialData[Gross Sales],1),2)</f>
        <v>1</v>
      </c>
      <c r="C408" s="12" t="b" cm="1">
        <f t="array" ref="C408">ROUND(INDEX(FinancialData[Gross Sales],A408)-INDEX(FinancialData[Discounts],A408),2)=ROUND(INDEX(FinancialData[ [ Sales] ],A408),2)</f>
        <v>1</v>
      </c>
      <c r="D408" t="b" cm="1">
        <f t="array" ref="D408">ROUND(INDEX(FinancialData[ [ Sales] ],A408)-INDEX(FinancialData[COGS],A408),2)=ROUND(INDEX(FinancialData[Profit],A408),2)</f>
        <v>1</v>
      </c>
    </row>
    <row r="409" spans="1:4" x14ac:dyDescent="0.3">
      <c r="A409">
        <v>408</v>
      </c>
      <c r="B409" t="b">
        <f>ROUND(INDEX(FinancialData[Units Sold],1)*INDEX(FinancialData[Sale Price],1),2)=ROUND(INDEX(FinancialData[Gross Sales],1),2)</f>
        <v>1</v>
      </c>
      <c r="C409" s="12" t="b" cm="1">
        <f t="array" ref="C409">ROUND(INDEX(FinancialData[Gross Sales],A409)-INDEX(FinancialData[Discounts],A409),2)=ROUND(INDEX(FinancialData[ [ Sales] ],A409),2)</f>
        <v>1</v>
      </c>
      <c r="D409" t="b" cm="1">
        <f t="array" ref="D409">ROUND(INDEX(FinancialData[ [ Sales] ],A409)-INDEX(FinancialData[COGS],A409),2)=ROUND(INDEX(FinancialData[Profit],A409),2)</f>
        <v>1</v>
      </c>
    </row>
    <row r="410" spans="1:4" x14ac:dyDescent="0.3">
      <c r="A410">
        <v>409</v>
      </c>
      <c r="B410" t="b">
        <f>ROUND(INDEX(FinancialData[Units Sold],1)*INDEX(FinancialData[Sale Price],1),2)=ROUND(INDEX(FinancialData[Gross Sales],1),2)</f>
        <v>1</v>
      </c>
      <c r="C410" s="12" t="b" cm="1">
        <f t="array" ref="C410">ROUND(INDEX(FinancialData[Gross Sales],A410)-INDEX(FinancialData[Discounts],A410),2)=ROUND(INDEX(FinancialData[ [ Sales] ],A410),2)</f>
        <v>1</v>
      </c>
      <c r="D410" t="b" cm="1">
        <f t="array" ref="D410">ROUND(INDEX(FinancialData[ [ Sales] ],A410)-INDEX(FinancialData[COGS],A410),2)=ROUND(INDEX(FinancialData[Profit],A410),2)</f>
        <v>1</v>
      </c>
    </row>
    <row r="411" spans="1:4" x14ac:dyDescent="0.3">
      <c r="A411">
        <v>410</v>
      </c>
      <c r="B411" t="b">
        <f>ROUND(INDEX(FinancialData[Units Sold],1)*INDEX(FinancialData[Sale Price],1),2)=ROUND(INDEX(FinancialData[Gross Sales],1),2)</f>
        <v>1</v>
      </c>
      <c r="C411" s="12" t="b" cm="1">
        <f t="array" ref="C411">ROUND(INDEX(FinancialData[Gross Sales],A411)-INDEX(FinancialData[Discounts],A411),2)=ROUND(INDEX(FinancialData[ [ Sales] ],A411),2)</f>
        <v>1</v>
      </c>
      <c r="D411" t="b" cm="1">
        <f t="array" ref="D411">ROUND(INDEX(FinancialData[ [ Sales] ],A411)-INDEX(FinancialData[COGS],A411),2)=ROUND(INDEX(FinancialData[Profit],A411),2)</f>
        <v>1</v>
      </c>
    </row>
    <row r="412" spans="1:4" x14ac:dyDescent="0.3">
      <c r="A412">
        <v>411</v>
      </c>
      <c r="B412" t="b">
        <f>ROUND(INDEX(FinancialData[Units Sold],1)*INDEX(FinancialData[Sale Price],1),2)=ROUND(INDEX(FinancialData[Gross Sales],1),2)</f>
        <v>1</v>
      </c>
      <c r="C412" s="12" t="b" cm="1">
        <f t="array" ref="C412">ROUND(INDEX(FinancialData[Gross Sales],A412)-INDEX(FinancialData[Discounts],A412),2)=ROUND(INDEX(FinancialData[ [ Sales] ],A412),2)</f>
        <v>1</v>
      </c>
      <c r="D412" t="b" cm="1">
        <f t="array" ref="D412">ROUND(INDEX(FinancialData[ [ Sales] ],A412)-INDEX(FinancialData[COGS],A412),2)=ROUND(INDEX(FinancialData[Profit],A412),2)</f>
        <v>1</v>
      </c>
    </row>
    <row r="413" spans="1:4" x14ac:dyDescent="0.3">
      <c r="A413">
        <v>412</v>
      </c>
      <c r="B413" t="b">
        <f>ROUND(INDEX(FinancialData[Units Sold],1)*INDEX(FinancialData[Sale Price],1),2)=ROUND(INDEX(FinancialData[Gross Sales],1),2)</f>
        <v>1</v>
      </c>
      <c r="C413" s="12" t="b" cm="1">
        <f t="array" ref="C413">ROUND(INDEX(FinancialData[Gross Sales],A413)-INDEX(FinancialData[Discounts],A413),2)=ROUND(INDEX(FinancialData[ [ Sales] ],A413),2)</f>
        <v>1</v>
      </c>
      <c r="D413" t="b" cm="1">
        <f t="array" ref="D413">ROUND(INDEX(FinancialData[ [ Sales] ],A413)-INDEX(FinancialData[COGS],A413),2)=ROUND(INDEX(FinancialData[Profit],A413),2)</f>
        <v>1</v>
      </c>
    </row>
    <row r="414" spans="1:4" x14ac:dyDescent="0.3">
      <c r="A414">
        <v>413</v>
      </c>
      <c r="B414" t="b">
        <f>ROUND(INDEX(FinancialData[Units Sold],1)*INDEX(FinancialData[Sale Price],1),2)=ROUND(INDEX(FinancialData[Gross Sales],1),2)</f>
        <v>1</v>
      </c>
      <c r="C414" s="12" t="b" cm="1">
        <f t="array" ref="C414">ROUND(INDEX(FinancialData[Gross Sales],A414)-INDEX(FinancialData[Discounts],A414),2)=ROUND(INDEX(FinancialData[ [ Sales] ],A414),2)</f>
        <v>1</v>
      </c>
      <c r="D414" t="b" cm="1">
        <f t="array" ref="D414">ROUND(INDEX(FinancialData[ [ Sales] ],A414)-INDEX(FinancialData[COGS],A414),2)=ROUND(INDEX(FinancialData[Profit],A414),2)</f>
        <v>1</v>
      </c>
    </row>
    <row r="415" spans="1:4" x14ac:dyDescent="0.3">
      <c r="A415">
        <v>414</v>
      </c>
      <c r="B415" t="b">
        <f>ROUND(INDEX(FinancialData[Units Sold],1)*INDEX(FinancialData[Sale Price],1),2)=ROUND(INDEX(FinancialData[Gross Sales],1),2)</f>
        <v>1</v>
      </c>
      <c r="C415" s="12" t="b" cm="1">
        <f t="array" ref="C415">ROUND(INDEX(FinancialData[Gross Sales],A415)-INDEX(FinancialData[Discounts],A415),2)=ROUND(INDEX(FinancialData[ [ Sales] ],A415),2)</f>
        <v>1</v>
      </c>
      <c r="D415" t="b" cm="1">
        <f t="array" ref="D415">ROUND(INDEX(FinancialData[ [ Sales] ],A415)-INDEX(FinancialData[COGS],A415),2)=ROUND(INDEX(FinancialData[Profit],A415),2)</f>
        <v>1</v>
      </c>
    </row>
    <row r="416" spans="1:4" x14ac:dyDescent="0.3">
      <c r="A416">
        <v>415</v>
      </c>
      <c r="B416" t="b">
        <f>ROUND(INDEX(FinancialData[Units Sold],1)*INDEX(FinancialData[Sale Price],1),2)=ROUND(INDEX(FinancialData[Gross Sales],1),2)</f>
        <v>1</v>
      </c>
      <c r="C416" s="12" t="b" cm="1">
        <f t="array" ref="C416">ROUND(INDEX(FinancialData[Gross Sales],A416)-INDEX(FinancialData[Discounts],A416),2)=ROUND(INDEX(FinancialData[ [ Sales] ],A416),2)</f>
        <v>1</v>
      </c>
      <c r="D416" t="b" cm="1">
        <f t="array" ref="D416">ROUND(INDEX(FinancialData[ [ Sales] ],A416)-INDEX(FinancialData[COGS],A416),2)=ROUND(INDEX(FinancialData[Profit],A416),2)</f>
        <v>1</v>
      </c>
    </row>
    <row r="417" spans="1:4" x14ac:dyDescent="0.3">
      <c r="A417">
        <v>416</v>
      </c>
      <c r="B417" t="b">
        <f>ROUND(INDEX(FinancialData[Units Sold],1)*INDEX(FinancialData[Sale Price],1),2)=ROUND(INDEX(FinancialData[Gross Sales],1),2)</f>
        <v>1</v>
      </c>
      <c r="C417" s="12" t="b" cm="1">
        <f t="array" ref="C417">ROUND(INDEX(FinancialData[Gross Sales],A417)-INDEX(FinancialData[Discounts],A417),2)=ROUND(INDEX(FinancialData[ [ Sales] ],A417),2)</f>
        <v>1</v>
      </c>
      <c r="D417" t="b" cm="1">
        <f t="array" ref="D417">ROUND(INDEX(FinancialData[ [ Sales] ],A417)-INDEX(FinancialData[COGS],A417),2)=ROUND(INDEX(FinancialData[Profit],A417),2)</f>
        <v>1</v>
      </c>
    </row>
    <row r="418" spans="1:4" x14ac:dyDescent="0.3">
      <c r="A418">
        <v>417</v>
      </c>
      <c r="B418" t="b">
        <f>ROUND(INDEX(FinancialData[Units Sold],1)*INDEX(FinancialData[Sale Price],1),2)=ROUND(INDEX(FinancialData[Gross Sales],1),2)</f>
        <v>1</v>
      </c>
      <c r="C418" s="12" t="b" cm="1">
        <f t="array" ref="C418">ROUND(INDEX(FinancialData[Gross Sales],A418)-INDEX(FinancialData[Discounts],A418),2)=ROUND(INDEX(FinancialData[ [ Sales] ],A418),2)</f>
        <v>1</v>
      </c>
      <c r="D418" t="b" cm="1">
        <f t="array" ref="D418">ROUND(INDEX(FinancialData[ [ Sales] ],A418)-INDEX(FinancialData[COGS],A418),2)=ROUND(INDEX(FinancialData[Profit],A418),2)</f>
        <v>1</v>
      </c>
    </row>
    <row r="419" spans="1:4" x14ac:dyDescent="0.3">
      <c r="A419">
        <v>418</v>
      </c>
      <c r="B419" t="b">
        <f>ROUND(INDEX(FinancialData[Units Sold],1)*INDEX(FinancialData[Sale Price],1),2)=ROUND(INDEX(FinancialData[Gross Sales],1),2)</f>
        <v>1</v>
      </c>
      <c r="C419" s="12" t="b" cm="1">
        <f t="array" ref="C419">ROUND(INDEX(FinancialData[Gross Sales],A419)-INDEX(FinancialData[Discounts],A419),2)=ROUND(INDEX(FinancialData[ [ Sales] ],A419),2)</f>
        <v>1</v>
      </c>
      <c r="D419" t="b" cm="1">
        <f t="array" ref="D419">ROUND(INDEX(FinancialData[ [ Sales] ],A419)-INDEX(FinancialData[COGS],A419),2)=ROUND(INDEX(FinancialData[Profit],A419),2)</f>
        <v>1</v>
      </c>
    </row>
    <row r="420" spans="1:4" x14ac:dyDescent="0.3">
      <c r="A420">
        <v>419</v>
      </c>
      <c r="B420" t="b">
        <f>ROUND(INDEX(FinancialData[Units Sold],1)*INDEX(FinancialData[Sale Price],1),2)=ROUND(INDEX(FinancialData[Gross Sales],1),2)</f>
        <v>1</v>
      </c>
      <c r="C420" s="12" t="b" cm="1">
        <f t="array" ref="C420">ROUND(INDEX(FinancialData[Gross Sales],A420)-INDEX(FinancialData[Discounts],A420),2)=ROUND(INDEX(FinancialData[ [ Sales] ],A420),2)</f>
        <v>1</v>
      </c>
      <c r="D420" t="b" cm="1">
        <f t="array" ref="D420">ROUND(INDEX(FinancialData[ [ Sales] ],A420)-INDEX(FinancialData[COGS],A420),2)=ROUND(INDEX(FinancialData[Profit],A420),2)</f>
        <v>1</v>
      </c>
    </row>
    <row r="421" spans="1:4" x14ac:dyDescent="0.3">
      <c r="A421">
        <v>420</v>
      </c>
      <c r="B421" t="b">
        <f>ROUND(INDEX(FinancialData[Units Sold],1)*INDEX(FinancialData[Sale Price],1),2)=ROUND(INDEX(FinancialData[Gross Sales],1),2)</f>
        <v>1</v>
      </c>
      <c r="C421" s="12" t="b" cm="1">
        <f t="array" ref="C421">ROUND(INDEX(FinancialData[Gross Sales],A421)-INDEX(FinancialData[Discounts],A421),2)=ROUND(INDEX(FinancialData[ [ Sales] ],A421),2)</f>
        <v>1</v>
      </c>
      <c r="D421" t="b" cm="1">
        <f t="array" ref="D421">ROUND(INDEX(FinancialData[ [ Sales] ],A421)-INDEX(FinancialData[COGS],A421),2)=ROUND(INDEX(FinancialData[Profit],A421),2)</f>
        <v>1</v>
      </c>
    </row>
    <row r="422" spans="1:4" x14ac:dyDescent="0.3">
      <c r="A422">
        <v>421</v>
      </c>
      <c r="B422" t="b">
        <f>ROUND(INDEX(FinancialData[Units Sold],1)*INDEX(FinancialData[Sale Price],1),2)=ROUND(INDEX(FinancialData[Gross Sales],1),2)</f>
        <v>1</v>
      </c>
      <c r="C422" s="12" t="b" cm="1">
        <f t="array" ref="C422">ROUND(INDEX(FinancialData[Gross Sales],A422)-INDEX(FinancialData[Discounts],A422),2)=ROUND(INDEX(FinancialData[ [ Sales] ],A422),2)</f>
        <v>1</v>
      </c>
      <c r="D422" t="b" cm="1">
        <f t="array" ref="D422">ROUND(INDEX(FinancialData[ [ Sales] ],A422)-INDEX(FinancialData[COGS],A422),2)=ROUND(INDEX(FinancialData[Profit],A422),2)</f>
        <v>1</v>
      </c>
    </row>
    <row r="423" spans="1:4" x14ac:dyDescent="0.3">
      <c r="A423">
        <v>422</v>
      </c>
      <c r="B423" t="b">
        <f>ROUND(INDEX(FinancialData[Units Sold],1)*INDEX(FinancialData[Sale Price],1),2)=ROUND(INDEX(FinancialData[Gross Sales],1),2)</f>
        <v>1</v>
      </c>
      <c r="C423" s="12" t="b" cm="1">
        <f t="array" ref="C423">ROUND(INDEX(FinancialData[Gross Sales],A423)-INDEX(FinancialData[Discounts],A423),2)=ROUND(INDEX(FinancialData[ [ Sales] ],A423),2)</f>
        <v>1</v>
      </c>
      <c r="D423" t="b" cm="1">
        <f t="array" ref="D423">ROUND(INDEX(FinancialData[ [ Sales] ],A423)-INDEX(FinancialData[COGS],A423),2)=ROUND(INDEX(FinancialData[Profit],A423),2)</f>
        <v>1</v>
      </c>
    </row>
    <row r="424" spans="1:4" x14ac:dyDescent="0.3">
      <c r="A424">
        <v>423</v>
      </c>
      <c r="B424" t="b">
        <f>ROUND(INDEX(FinancialData[Units Sold],1)*INDEX(FinancialData[Sale Price],1),2)=ROUND(INDEX(FinancialData[Gross Sales],1),2)</f>
        <v>1</v>
      </c>
      <c r="C424" s="12" t="b" cm="1">
        <f t="array" ref="C424">ROUND(INDEX(FinancialData[Gross Sales],A424)-INDEX(FinancialData[Discounts],A424),2)=ROUND(INDEX(FinancialData[ [ Sales] ],A424),2)</f>
        <v>1</v>
      </c>
      <c r="D424" t="b" cm="1">
        <f t="array" ref="D424">ROUND(INDEX(FinancialData[ [ Sales] ],A424)-INDEX(FinancialData[COGS],A424),2)=ROUND(INDEX(FinancialData[Profit],A424),2)</f>
        <v>1</v>
      </c>
    </row>
    <row r="425" spans="1:4" x14ac:dyDescent="0.3">
      <c r="A425">
        <v>424</v>
      </c>
      <c r="B425" t="b">
        <f>ROUND(INDEX(FinancialData[Units Sold],1)*INDEX(FinancialData[Sale Price],1),2)=ROUND(INDEX(FinancialData[Gross Sales],1),2)</f>
        <v>1</v>
      </c>
      <c r="C425" s="12" t="b" cm="1">
        <f t="array" ref="C425">ROUND(INDEX(FinancialData[Gross Sales],A425)-INDEX(FinancialData[Discounts],A425),2)=ROUND(INDEX(FinancialData[ [ Sales] ],A425),2)</f>
        <v>1</v>
      </c>
      <c r="D425" t="b" cm="1">
        <f t="array" ref="D425">ROUND(INDEX(FinancialData[ [ Sales] ],A425)-INDEX(FinancialData[COGS],A425),2)=ROUND(INDEX(FinancialData[Profit],A425),2)</f>
        <v>1</v>
      </c>
    </row>
    <row r="426" spans="1:4" x14ac:dyDescent="0.3">
      <c r="A426">
        <v>425</v>
      </c>
      <c r="B426" t="b">
        <f>ROUND(INDEX(FinancialData[Units Sold],1)*INDEX(FinancialData[Sale Price],1),2)=ROUND(INDEX(FinancialData[Gross Sales],1),2)</f>
        <v>1</v>
      </c>
      <c r="C426" s="12" t="b" cm="1">
        <f t="array" ref="C426">ROUND(INDEX(FinancialData[Gross Sales],A426)-INDEX(FinancialData[Discounts],A426),2)=ROUND(INDEX(FinancialData[ [ Sales] ],A426),2)</f>
        <v>1</v>
      </c>
      <c r="D426" t="b" cm="1">
        <f t="array" ref="D426">ROUND(INDEX(FinancialData[ [ Sales] ],A426)-INDEX(FinancialData[COGS],A426),2)=ROUND(INDEX(FinancialData[Profit],A426),2)</f>
        <v>1</v>
      </c>
    </row>
    <row r="427" spans="1:4" x14ac:dyDescent="0.3">
      <c r="A427">
        <v>426</v>
      </c>
      <c r="B427" t="b">
        <f>ROUND(INDEX(FinancialData[Units Sold],1)*INDEX(FinancialData[Sale Price],1),2)=ROUND(INDEX(FinancialData[Gross Sales],1),2)</f>
        <v>1</v>
      </c>
      <c r="C427" s="12" t="b" cm="1">
        <f t="array" ref="C427">ROUND(INDEX(FinancialData[Gross Sales],A427)-INDEX(FinancialData[Discounts],A427),2)=ROUND(INDEX(FinancialData[ [ Sales] ],A427),2)</f>
        <v>1</v>
      </c>
      <c r="D427" t="b" cm="1">
        <f t="array" ref="D427">ROUND(INDEX(FinancialData[ [ Sales] ],A427)-INDEX(FinancialData[COGS],A427),2)=ROUND(INDEX(FinancialData[Profit],A427),2)</f>
        <v>1</v>
      </c>
    </row>
    <row r="428" spans="1:4" x14ac:dyDescent="0.3">
      <c r="A428">
        <v>427</v>
      </c>
      <c r="B428" t="b">
        <f>ROUND(INDEX(FinancialData[Units Sold],1)*INDEX(FinancialData[Sale Price],1),2)=ROUND(INDEX(FinancialData[Gross Sales],1),2)</f>
        <v>1</v>
      </c>
      <c r="C428" s="12" t="b" cm="1">
        <f t="array" ref="C428">ROUND(INDEX(FinancialData[Gross Sales],A428)-INDEX(FinancialData[Discounts],A428),2)=ROUND(INDEX(FinancialData[ [ Sales] ],A428),2)</f>
        <v>1</v>
      </c>
      <c r="D428" t="b" cm="1">
        <f t="array" ref="D428">ROUND(INDEX(FinancialData[ [ Sales] ],A428)-INDEX(FinancialData[COGS],A428),2)=ROUND(INDEX(FinancialData[Profit],A428),2)</f>
        <v>1</v>
      </c>
    </row>
    <row r="429" spans="1:4" x14ac:dyDescent="0.3">
      <c r="A429">
        <v>428</v>
      </c>
      <c r="B429" t="b">
        <f>ROUND(INDEX(FinancialData[Units Sold],1)*INDEX(FinancialData[Sale Price],1),2)=ROUND(INDEX(FinancialData[Gross Sales],1),2)</f>
        <v>1</v>
      </c>
      <c r="C429" s="12" t="b" cm="1">
        <f t="array" ref="C429">ROUND(INDEX(FinancialData[Gross Sales],A429)-INDEX(FinancialData[Discounts],A429),2)=ROUND(INDEX(FinancialData[ [ Sales] ],A429),2)</f>
        <v>1</v>
      </c>
      <c r="D429" t="b" cm="1">
        <f t="array" ref="D429">ROUND(INDEX(FinancialData[ [ Sales] ],A429)-INDEX(FinancialData[COGS],A429),2)=ROUND(INDEX(FinancialData[Profit],A429),2)</f>
        <v>1</v>
      </c>
    </row>
    <row r="430" spans="1:4" x14ac:dyDescent="0.3">
      <c r="A430">
        <v>429</v>
      </c>
      <c r="B430" t="b">
        <f>ROUND(INDEX(FinancialData[Units Sold],1)*INDEX(FinancialData[Sale Price],1),2)=ROUND(INDEX(FinancialData[Gross Sales],1),2)</f>
        <v>1</v>
      </c>
      <c r="C430" s="12" t="b" cm="1">
        <f t="array" ref="C430">ROUND(INDEX(FinancialData[Gross Sales],A430)-INDEX(FinancialData[Discounts],A430),2)=ROUND(INDEX(FinancialData[ [ Sales] ],A430),2)</f>
        <v>1</v>
      </c>
      <c r="D430" t="b" cm="1">
        <f t="array" ref="D430">ROUND(INDEX(FinancialData[ [ Sales] ],A430)-INDEX(FinancialData[COGS],A430),2)=ROUND(INDEX(FinancialData[Profit],A430),2)</f>
        <v>1</v>
      </c>
    </row>
    <row r="431" spans="1:4" x14ac:dyDescent="0.3">
      <c r="A431">
        <v>430</v>
      </c>
      <c r="B431" t="b">
        <f>ROUND(INDEX(FinancialData[Units Sold],1)*INDEX(FinancialData[Sale Price],1),2)=ROUND(INDEX(FinancialData[Gross Sales],1),2)</f>
        <v>1</v>
      </c>
      <c r="C431" s="12" t="b" cm="1">
        <f t="array" ref="C431">ROUND(INDEX(FinancialData[Gross Sales],A431)-INDEX(FinancialData[Discounts],A431),2)=ROUND(INDEX(FinancialData[ [ Sales] ],A431),2)</f>
        <v>1</v>
      </c>
      <c r="D431" t="b" cm="1">
        <f t="array" ref="D431">ROUND(INDEX(FinancialData[ [ Sales] ],A431)-INDEX(FinancialData[COGS],A431),2)=ROUND(INDEX(FinancialData[Profit],A431),2)</f>
        <v>1</v>
      </c>
    </row>
    <row r="432" spans="1:4" x14ac:dyDescent="0.3">
      <c r="A432">
        <v>431</v>
      </c>
      <c r="B432" t="b">
        <f>ROUND(INDEX(FinancialData[Units Sold],1)*INDEX(FinancialData[Sale Price],1),2)=ROUND(INDEX(FinancialData[Gross Sales],1),2)</f>
        <v>1</v>
      </c>
      <c r="C432" s="12" t="b" cm="1">
        <f t="array" ref="C432">ROUND(INDEX(FinancialData[Gross Sales],A432)-INDEX(FinancialData[Discounts],A432),2)=ROUND(INDEX(FinancialData[ [ Sales] ],A432),2)</f>
        <v>1</v>
      </c>
      <c r="D432" t="b" cm="1">
        <f t="array" ref="D432">ROUND(INDEX(FinancialData[ [ Sales] ],A432)-INDEX(FinancialData[COGS],A432),2)=ROUND(INDEX(FinancialData[Profit],A432),2)</f>
        <v>1</v>
      </c>
    </row>
    <row r="433" spans="1:4" x14ac:dyDescent="0.3">
      <c r="A433">
        <v>432</v>
      </c>
      <c r="B433" t="b">
        <f>ROUND(INDEX(FinancialData[Units Sold],1)*INDEX(FinancialData[Sale Price],1),2)=ROUND(INDEX(FinancialData[Gross Sales],1),2)</f>
        <v>1</v>
      </c>
      <c r="C433" s="12" t="b" cm="1">
        <f t="array" ref="C433">ROUND(INDEX(FinancialData[Gross Sales],A433)-INDEX(FinancialData[Discounts],A433),2)=ROUND(INDEX(FinancialData[ [ Sales] ],A433),2)</f>
        <v>1</v>
      </c>
      <c r="D433" t="b" cm="1">
        <f t="array" ref="D433">ROUND(INDEX(FinancialData[ [ Sales] ],A433)-INDEX(FinancialData[COGS],A433),2)=ROUND(INDEX(FinancialData[Profit],A433),2)</f>
        <v>1</v>
      </c>
    </row>
    <row r="434" spans="1:4" x14ac:dyDescent="0.3">
      <c r="A434">
        <v>433</v>
      </c>
      <c r="B434" t="b">
        <f>ROUND(INDEX(FinancialData[Units Sold],1)*INDEX(FinancialData[Sale Price],1),2)=ROUND(INDEX(FinancialData[Gross Sales],1),2)</f>
        <v>1</v>
      </c>
      <c r="C434" s="12" t="b" cm="1">
        <f t="array" ref="C434">ROUND(INDEX(FinancialData[Gross Sales],A434)-INDEX(FinancialData[Discounts],A434),2)=ROUND(INDEX(FinancialData[ [ Sales] ],A434),2)</f>
        <v>1</v>
      </c>
      <c r="D434" t="b" cm="1">
        <f t="array" ref="D434">ROUND(INDEX(FinancialData[ [ Sales] ],A434)-INDEX(FinancialData[COGS],A434),2)=ROUND(INDEX(FinancialData[Profit],A434),2)</f>
        <v>1</v>
      </c>
    </row>
    <row r="435" spans="1:4" x14ac:dyDescent="0.3">
      <c r="A435">
        <v>434</v>
      </c>
      <c r="B435" t="b">
        <f>ROUND(INDEX(FinancialData[Units Sold],1)*INDEX(FinancialData[Sale Price],1),2)=ROUND(INDEX(FinancialData[Gross Sales],1),2)</f>
        <v>1</v>
      </c>
      <c r="C435" s="12" t="b" cm="1">
        <f t="array" ref="C435">ROUND(INDEX(FinancialData[Gross Sales],A435)-INDEX(FinancialData[Discounts],A435),2)=ROUND(INDEX(FinancialData[ [ Sales] ],A435),2)</f>
        <v>1</v>
      </c>
      <c r="D435" t="b" cm="1">
        <f t="array" ref="D435">ROUND(INDEX(FinancialData[ [ Sales] ],A435)-INDEX(FinancialData[COGS],A435),2)=ROUND(INDEX(FinancialData[Profit],A435),2)</f>
        <v>1</v>
      </c>
    </row>
    <row r="436" spans="1:4" x14ac:dyDescent="0.3">
      <c r="A436">
        <v>435</v>
      </c>
      <c r="B436" t="b">
        <f>ROUND(INDEX(FinancialData[Units Sold],1)*INDEX(FinancialData[Sale Price],1),2)=ROUND(INDEX(FinancialData[Gross Sales],1),2)</f>
        <v>1</v>
      </c>
      <c r="C436" s="12" t="b" cm="1">
        <f t="array" ref="C436">ROUND(INDEX(FinancialData[Gross Sales],A436)-INDEX(FinancialData[Discounts],A436),2)=ROUND(INDEX(FinancialData[ [ Sales] ],A436),2)</f>
        <v>1</v>
      </c>
      <c r="D436" t="b" cm="1">
        <f t="array" ref="D436">ROUND(INDEX(FinancialData[ [ Sales] ],A436)-INDEX(FinancialData[COGS],A436),2)=ROUND(INDEX(FinancialData[Profit],A436),2)</f>
        <v>1</v>
      </c>
    </row>
    <row r="437" spans="1:4" x14ac:dyDescent="0.3">
      <c r="A437">
        <v>436</v>
      </c>
      <c r="B437" t="b">
        <f>ROUND(INDEX(FinancialData[Units Sold],1)*INDEX(FinancialData[Sale Price],1),2)=ROUND(INDEX(FinancialData[Gross Sales],1),2)</f>
        <v>1</v>
      </c>
      <c r="C437" s="12" t="b" cm="1">
        <f t="array" ref="C437">ROUND(INDEX(FinancialData[Gross Sales],A437)-INDEX(FinancialData[Discounts],A437),2)=ROUND(INDEX(FinancialData[ [ Sales] ],A437),2)</f>
        <v>1</v>
      </c>
      <c r="D437" t="b" cm="1">
        <f t="array" ref="D437">ROUND(INDEX(FinancialData[ [ Sales] ],A437)-INDEX(FinancialData[COGS],A437),2)=ROUND(INDEX(FinancialData[Profit],A437),2)</f>
        <v>1</v>
      </c>
    </row>
    <row r="438" spans="1:4" x14ac:dyDescent="0.3">
      <c r="A438">
        <v>437</v>
      </c>
      <c r="B438" t="b">
        <f>ROUND(INDEX(FinancialData[Units Sold],1)*INDEX(FinancialData[Sale Price],1),2)=ROUND(INDEX(FinancialData[Gross Sales],1),2)</f>
        <v>1</v>
      </c>
      <c r="C438" s="12" t="b" cm="1">
        <f t="array" ref="C438">ROUND(INDEX(FinancialData[Gross Sales],A438)-INDEX(FinancialData[Discounts],A438),2)=ROUND(INDEX(FinancialData[ [ Sales] ],A438),2)</f>
        <v>1</v>
      </c>
      <c r="D438" t="b" cm="1">
        <f t="array" ref="D438">ROUND(INDEX(FinancialData[ [ Sales] ],A438)-INDEX(FinancialData[COGS],A438),2)=ROUND(INDEX(FinancialData[Profit],A438),2)</f>
        <v>1</v>
      </c>
    </row>
    <row r="439" spans="1:4" x14ac:dyDescent="0.3">
      <c r="A439">
        <v>438</v>
      </c>
      <c r="B439" t="b">
        <f>ROUND(INDEX(FinancialData[Units Sold],1)*INDEX(FinancialData[Sale Price],1),2)=ROUND(INDEX(FinancialData[Gross Sales],1),2)</f>
        <v>1</v>
      </c>
      <c r="C439" s="12" t="b" cm="1">
        <f t="array" ref="C439">ROUND(INDEX(FinancialData[Gross Sales],A439)-INDEX(FinancialData[Discounts],A439),2)=ROUND(INDEX(FinancialData[ [ Sales] ],A439),2)</f>
        <v>1</v>
      </c>
      <c r="D439" t="b" cm="1">
        <f t="array" ref="D439">ROUND(INDEX(FinancialData[ [ Sales] ],A439)-INDEX(FinancialData[COGS],A439),2)=ROUND(INDEX(FinancialData[Profit],A439),2)</f>
        <v>1</v>
      </c>
    </row>
    <row r="440" spans="1:4" x14ac:dyDescent="0.3">
      <c r="A440">
        <v>439</v>
      </c>
      <c r="B440" t="b">
        <f>ROUND(INDEX(FinancialData[Units Sold],1)*INDEX(FinancialData[Sale Price],1),2)=ROUND(INDEX(FinancialData[Gross Sales],1),2)</f>
        <v>1</v>
      </c>
      <c r="C440" s="12" t="b" cm="1">
        <f t="array" ref="C440">ROUND(INDEX(FinancialData[Gross Sales],A440)-INDEX(FinancialData[Discounts],A440),2)=ROUND(INDEX(FinancialData[ [ Sales] ],A440),2)</f>
        <v>1</v>
      </c>
      <c r="D440" t="b" cm="1">
        <f t="array" ref="D440">ROUND(INDEX(FinancialData[ [ Sales] ],A440)-INDEX(FinancialData[COGS],A440),2)=ROUND(INDEX(FinancialData[Profit],A440),2)</f>
        <v>1</v>
      </c>
    </row>
    <row r="441" spans="1:4" x14ac:dyDescent="0.3">
      <c r="A441">
        <v>440</v>
      </c>
      <c r="B441" t="b">
        <f>ROUND(INDEX(FinancialData[Units Sold],1)*INDEX(FinancialData[Sale Price],1),2)=ROUND(INDEX(FinancialData[Gross Sales],1),2)</f>
        <v>1</v>
      </c>
      <c r="C441" s="12" t="b" cm="1">
        <f t="array" ref="C441">ROUND(INDEX(FinancialData[Gross Sales],A441)-INDEX(FinancialData[Discounts],A441),2)=ROUND(INDEX(FinancialData[ [ Sales] ],A441),2)</f>
        <v>1</v>
      </c>
      <c r="D441" t="b" cm="1">
        <f t="array" ref="D441">ROUND(INDEX(FinancialData[ [ Sales] ],A441)-INDEX(FinancialData[COGS],A441),2)=ROUND(INDEX(FinancialData[Profit],A441),2)</f>
        <v>1</v>
      </c>
    </row>
    <row r="442" spans="1:4" x14ac:dyDescent="0.3">
      <c r="A442">
        <v>441</v>
      </c>
      <c r="B442" t="b">
        <f>ROUND(INDEX(FinancialData[Units Sold],1)*INDEX(FinancialData[Sale Price],1),2)=ROUND(INDEX(FinancialData[Gross Sales],1),2)</f>
        <v>1</v>
      </c>
      <c r="C442" s="12" t="b" cm="1">
        <f t="array" ref="C442">ROUND(INDEX(FinancialData[Gross Sales],A442)-INDEX(FinancialData[Discounts],A442),2)=ROUND(INDEX(FinancialData[ [ Sales] ],A442),2)</f>
        <v>1</v>
      </c>
      <c r="D442" t="b" cm="1">
        <f t="array" ref="D442">ROUND(INDEX(FinancialData[ [ Sales] ],A442)-INDEX(FinancialData[COGS],A442),2)=ROUND(INDEX(FinancialData[Profit],A442),2)</f>
        <v>1</v>
      </c>
    </row>
    <row r="443" spans="1:4" x14ac:dyDescent="0.3">
      <c r="A443">
        <v>442</v>
      </c>
      <c r="B443" t="b">
        <f>ROUND(INDEX(FinancialData[Units Sold],1)*INDEX(FinancialData[Sale Price],1),2)=ROUND(INDEX(FinancialData[Gross Sales],1),2)</f>
        <v>1</v>
      </c>
      <c r="C443" s="12" t="b" cm="1">
        <f t="array" ref="C443">ROUND(INDEX(FinancialData[Gross Sales],A443)-INDEX(FinancialData[Discounts],A443),2)=ROUND(INDEX(FinancialData[ [ Sales] ],A443),2)</f>
        <v>1</v>
      </c>
      <c r="D443" t="b" cm="1">
        <f t="array" ref="D443">ROUND(INDEX(FinancialData[ [ Sales] ],A443)-INDEX(FinancialData[COGS],A443),2)=ROUND(INDEX(FinancialData[Profit],A443),2)</f>
        <v>1</v>
      </c>
    </row>
    <row r="444" spans="1:4" x14ac:dyDescent="0.3">
      <c r="A444">
        <v>443</v>
      </c>
      <c r="B444" t="b">
        <f>ROUND(INDEX(FinancialData[Units Sold],1)*INDEX(FinancialData[Sale Price],1),2)=ROUND(INDEX(FinancialData[Gross Sales],1),2)</f>
        <v>1</v>
      </c>
      <c r="C444" s="12" t="b" cm="1">
        <f t="array" ref="C444">ROUND(INDEX(FinancialData[Gross Sales],A444)-INDEX(FinancialData[Discounts],A444),2)=ROUND(INDEX(FinancialData[ [ Sales] ],A444),2)</f>
        <v>1</v>
      </c>
      <c r="D444" t="b" cm="1">
        <f t="array" ref="D444">ROUND(INDEX(FinancialData[ [ Sales] ],A444)-INDEX(FinancialData[COGS],A444),2)=ROUND(INDEX(FinancialData[Profit],A444),2)</f>
        <v>1</v>
      </c>
    </row>
    <row r="445" spans="1:4" x14ac:dyDescent="0.3">
      <c r="A445">
        <v>444</v>
      </c>
      <c r="B445" t="b">
        <f>ROUND(INDEX(FinancialData[Units Sold],1)*INDEX(FinancialData[Sale Price],1),2)=ROUND(INDEX(FinancialData[Gross Sales],1),2)</f>
        <v>1</v>
      </c>
      <c r="C445" s="12" t="b" cm="1">
        <f t="array" ref="C445">ROUND(INDEX(FinancialData[Gross Sales],A445)-INDEX(FinancialData[Discounts],A445),2)=ROUND(INDEX(FinancialData[ [ Sales] ],A445),2)</f>
        <v>1</v>
      </c>
      <c r="D445" t="b" cm="1">
        <f t="array" ref="D445">ROUND(INDEX(FinancialData[ [ Sales] ],A445)-INDEX(FinancialData[COGS],A445),2)=ROUND(INDEX(FinancialData[Profit],A445),2)</f>
        <v>1</v>
      </c>
    </row>
    <row r="446" spans="1:4" x14ac:dyDescent="0.3">
      <c r="A446">
        <v>445</v>
      </c>
      <c r="B446" t="b">
        <f>ROUND(INDEX(FinancialData[Units Sold],1)*INDEX(FinancialData[Sale Price],1),2)=ROUND(INDEX(FinancialData[Gross Sales],1),2)</f>
        <v>1</v>
      </c>
      <c r="C446" s="12" t="b" cm="1">
        <f t="array" ref="C446">ROUND(INDEX(FinancialData[Gross Sales],A446)-INDEX(FinancialData[Discounts],A446),2)=ROUND(INDEX(FinancialData[ [ Sales] ],A446),2)</f>
        <v>1</v>
      </c>
      <c r="D446" t="b" cm="1">
        <f t="array" ref="D446">ROUND(INDEX(FinancialData[ [ Sales] ],A446)-INDEX(FinancialData[COGS],A446),2)=ROUND(INDEX(FinancialData[Profit],A446),2)</f>
        <v>1</v>
      </c>
    </row>
    <row r="447" spans="1:4" x14ac:dyDescent="0.3">
      <c r="A447">
        <v>446</v>
      </c>
      <c r="B447" t="b">
        <f>ROUND(INDEX(FinancialData[Units Sold],1)*INDEX(FinancialData[Sale Price],1),2)=ROUND(INDEX(FinancialData[Gross Sales],1),2)</f>
        <v>1</v>
      </c>
      <c r="C447" s="12" t="b" cm="1">
        <f t="array" ref="C447">ROUND(INDEX(FinancialData[Gross Sales],A447)-INDEX(FinancialData[Discounts],A447),2)=ROUND(INDEX(FinancialData[ [ Sales] ],A447),2)</f>
        <v>1</v>
      </c>
      <c r="D447" t="b" cm="1">
        <f t="array" ref="D447">ROUND(INDEX(FinancialData[ [ Sales] ],A447)-INDEX(FinancialData[COGS],A447),2)=ROUND(INDEX(FinancialData[Profit],A447),2)</f>
        <v>1</v>
      </c>
    </row>
    <row r="448" spans="1:4" x14ac:dyDescent="0.3">
      <c r="A448">
        <v>447</v>
      </c>
      <c r="B448" t="b">
        <f>ROUND(INDEX(FinancialData[Units Sold],1)*INDEX(FinancialData[Sale Price],1),2)=ROUND(INDEX(FinancialData[Gross Sales],1),2)</f>
        <v>1</v>
      </c>
      <c r="C448" s="12" t="b" cm="1">
        <f t="array" ref="C448">ROUND(INDEX(FinancialData[Gross Sales],A448)-INDEX(FinancialData[Discounts],A448),2)=ROUND(INDEX(FinancialData[ [ Sales] ],A448),2)</f>
        <v>1</v>
      </c>
      <c r="D448" t="b" cm="1">
        <f t="array" ref="D448">ROUND(INDEX(FinancialData[ [ Sales] ],A448)-INDEX(FinancialData[COGS],A448),2)=ROUND(INDEX(FinancialData[Profit],A448),2)</f>
        <v>1</v>
      </c>
    </row>
    <row r="449" spans="1:4" x14ac:dyDescent="0.3">
      <c r="A449">
        <v>448</v>
      </c>
      <c r="B449" t="b">
        <f>ROUND(INDEX(FinancialData[Units Sold],1)*INDEX(FinancialData[Sale Price],1),2)=ROUND(INDEX(FinancialData[Gross Sales],1),2)</f>
        <v>1</v>
      </c>
      <c r="C449" s="12" t="b" cm="1">
        <f t="array" ref="C449">ROUND(INDEX(FinancialData[Gross Sales],A449)-INDEX(FinancialData[Discounts],A449),2)=ROUND(INDEX(FinancialData[ [ Sales] ],A449),2)</f>
        <v>1</v>
      </c>
      <c r="D449" t="b" cm="1">
        <f t="array" ref="D449">ROUND(INDEX(FinancialData[ [ Sales] ],A449)-INDEX(FinancialData[COGS],A449),2)=ROUND(INDEX(FinancialData[Profit],A449),2)</f>
        <v>1</v>
      </c>
    </row>
    <row r="450" spans="1:4" x14ac:dyDescent="0.3">
      <c r="A450">
        <v>449</v>
      </c>
      <c r="B450" t="b">
        <f>ROUND(INDEX(FinancialData[Units Sold],1)*INDEX(FinancialData[Sale Price],1),2)=ROUND(INDEX(FinancialData[Gross Sales],1),2)</f>
        <v>1</v>
      </c>
      <c r="C450" s="12" t="b" cm="1">
        <f t="array" ref="C450">ROUND(INDEX(FinancialData[Gross Sales],A450)-INDEX(FinancialData[Discounts],A450),2)=ROUND(INDEX(FinancialData[ [ Sales] ],A450),2)</f>
        <v>1</v>
      </c>
      <c r="D450" t="b" cm="1">
        <f t="array" ref="D450">ROUND(INDEX(FinancialData[ [ Sales] ],A450)-INDEX(FinancialData[COGS],A450),2)=ROUND(INDEX(FinancialData[Profit],A450),2)</f>
        <v>1</v>
      </c>
    </row>
    <row r="451" spans="1:4" x14ac:dyDescent="0.3">
      <c r="A451">
        <v>450</v>
      </c>
      <c r="B451" t="b">
        <f>ROUND(INDEX(FinancialData[Units Sold],1)*INDEX(FinancialData[Sale Price],1),2)=ROUND(INDEX(FinancialData[Gross Sales],1),2)</f>
        <v>1</v>
      </c>
      <c r="C451" s="12" t="b" cm="1">
        <f t="array" ref="C451">ROUND(INDEX(FinancialData[Gross Sales],A451)-INDEX(FinancialData[Discounts],A451),2)=ROUND(INDEX(FinancialData[ [ Sales] ],A451),2)</f>
        <v>1</v>
      </c>
      <c r="D451" t="b" cm="1">
        <f t="array" ref="D451">ROUND(INDEX(FinancialData[ [ Sales] ],A451)-INDEX(FinancialData[COGS],A451),2)=ROUND(INDEX(FinancialData[Profit],A451),2)</f>
        <v>1</v>
      </c>
    </row>
    <row r="452" spans="1:4" x14ac:dyDescent="0.3">
      <c r="A452">
        <v>451</v>
      </c>
      <c r="B452" t="b">
        <f>ROUND(INDEX(FinancialData[Units Sold],1)*INDEX(FinancialData[Sale Price],1),2)=ROUND(INDEX(FinancialData[Gross Sales],1),2)</f>
        <v>1</v>
      </c>
      <c r="C452" s="12" t="b" cm="1">
        <f t="array" ref="C452">ROUND(INDEX(FinancialData[Gross Sales],A452)-INDEX(FinancialData[Discounts],A452),2)=ROUND(INDEX(FinancialData[ [ Sales] ],A452),2)</f>
        <v>1</v>
      </c>
      <c r="D452" t="b" cm="1">
        <f t="array" ref="D452">ROUND(INDEX(FinancialData[ [ Sales] ],A452)-INDEX(FinancialData[COGS],A452),2)=ROUND(INDEX(FinancialData[Profit],A452),2)</f>
        <v>1</v>
      </c>
    </row>
    <row r="453" spans="1:4" x14ac:dyDescent="0.3">
      <c r="A453">
        <v>452</v>
      </c>
      <c r="B453" t="b">
        <f>ROUND(INDEX(FinancialData[Units Sold],1)*INDEX(FinancialData[Sale Price],1),2)=ROUND(INDEX(FinancialData[Gross Sales],1),2)</f>
        <v>1</v>
      </c>
      <c r="C453" s="12" t="b" cm="1">
        <f t="array" ref="C453">ROUND(INDEX(FinancialData[Gross Sales],A453)-INDEX(FinancialData[Discounts],A453),2)=ROUND(INDEX(FinancialData[ [ Sales] ],A453),2)</f>
        <v>1</v>
      </c>
      <c r="D453" t="b" cm="1">
        <f t="array" ref="D453">ROUND(INDEX(FinancialData[ [ Sales] ],A453)-INDEX(FinancialData[COGS],A453),2)=ROUND(INDEX(FinancialData[Profit],A453),2)</f>
        <v>1</v>
      </c>
    </row>
    <row r="454" spans="1:4" x14ac:dyDescent="0.3">
      <c r="A454">
        <v>453</v>
      </c>
      <c r="B454" t="b">
        <f>ROUND(INDEX(FinancialData[Units Sold],1)*INDEX(FinancialData[Sale Price],1),2)=ROUND(INDEX(FinancialData[Gross Sales],1),2)</f>
        <v>1</v>
      </c>
      <c r="C454" s="12" t="b" cm="1">
        <f t="array" ref="C454">ROUND(INDEX(FinancialData[Gross Sales],A454)-INDEX(FinancialData[Discounts],A454),2)=ROUND(INDEX(FinancialData[ [ Sales] ],A454),2)</f>
        <v>1</v>
      </c>
      <c r="D454" t="b" cm="1">
        <f t="array" ref="D454">ROUND(INDEX(FinancialData[ [ Sales] ],A454)-INDEX(FinancialData[COGS],A454),2)=ROUND(INDEX(FinancialData[Profit],A454),2)</f>
        <v>1</v>
      </c>
    </row>
    <row r="455" spans="1:4" x14ac:dyDescent="0.3">
      <c r="A455">
        <v>454</v>
      </c>
      <c r="B455" t="b">
        <f>ROUND(INDEX(FinancialData[Units Sold],1)*INDEX(FinancialData[Sale Price],1),2)=ROUND(INDEX(FinancialData[Gross Sales],1),2)</f>
        <v>1</v>
      </c>
      <c r="C455" s="12" t="b" cm="1">
        <f t="array" ref="C455">ROUND(INDEX(FinancialData[Gross Sales],A455)-INDEX(FinancialData[Discounts],A455),2)=ROUND(INDEX(FinancialData[ [ Sales] ],A455),2)</f>
        <v>1</v>
      </c>
      <c r="D455" t="b" cm="1">
        <f t="array" ref="D455">ROUND(INDEX(FinancialData[ [ Sales] ],A455)-INDEX(FinancialData[COGS],A455),2)=ROUND(INDEX(FinancialData[Profit],A455),2)</f>
        <v>1</v>
      </c>
    </row>
    <row r="456" spans="1:4" x14ac:dyDescent="0.3">
      <c r="A456">
        <v>455</v>
      </c>
      <c r="B456" t="b">
        <f>ROUND(INDEX(FinancialData[Units Sold],1)*INDEX(FinancialData[Sale Price],1),2)=ROUND(INDEX(FinancialData[Gross Sales],1),2)</f>
        <v>1</v>
      </c>
      <c r="C456" s="12" t="b" cm="1">
        <f t="array" ref="C456">ROUND(INDEX(FinancialData[Gross Sales],A456)-INDEX(FinancialData[Discounts],A456),2)=ROUND(INDEX(FinancialData[ [ Sales] ],A456),2)</f>
        <v>1</v>
      </c>
      <c r="D456" t="b" cm="1">
        <f t="array" ref="D456">ROUND(INDEX(FinancialData[ [ Sales] ],A456)-INDEX(FinancialData[COGS],A456),2)=ROUND(INDEX(FinancialData[Profit],A456),2)</f>
        <v>1</v>
      </c>
    </row>
    <row r="457" spans="1:4" x14ac:dyDescent="0.3">
      <c r="A457">
        <v>456</v>
      </c>
      <c r="B457" t="b">
        <f>ROUND(INDEX(FinancialData[Units Sold],1)*INDEX(FinancialData[Sale Price],1),2)=ROUND(INDEX(FinancialData[Gross Sales],1),2)</f>
        <v>1</v>
      </c>
      <c r="C457" s="12" t="b" cm="1">
        <f t="array" ref="C457">ROUND(INDEX(FinancialData[Gross Sales],A457)-INDEX(FinancialData[Discounts],A457),2)=ROUND(INDEX(FinancialData[ [ Sales] ],A457),2)</f>
        <v>1</v>
      </c>
      <c r="D457" t="b" cm="1">
        <f t="array" ref="D457">ROUND(INDEX(FinancialData[ [ Sales] ],A457)-INDEX(FinancialData[COGS],A457),2)=ROUND(INDEX(FinancialData[Profit],A457),2)</f>
        <v>1</v>
      </c>
    </row>
    <row r="458" spans="1:4" x14ac:dyDescent="0.3">
      <c r="A458">
        <v>457</v>
      </c>
      <c r="B458" t="b">
        <f>ROUND(INDEX(FinancialData[Units Sold],1)*INDEX(FinancialData[Sale Price],1),2)=ROUND(INDEX(FinancialData[Gross Sales],1),2)</f>
        <v>1</v>
      </c>
      <c r="C458" s="12" t="b" cm="1">
        <f t="array" ref="C458">ROUND(INDEX(FinancialData[Gross Sales],A458)-INDEX(FinancialData[Discounts],A458),2)=ROUND(INDEX(FinancialData[ [ Sales] ],A458),2)</f>
        <v>1</v>
      </c>
      <c r="D458" t="b" cm="1">
        <f t="array" ref="D458">ROUND(INDEX(FinancialData[ [ Sales] ],A458)-INDEX(FinancialData[COGS],A458),2)=ROUND(INDEX(FinancialData[Profit],A458),2)</f>
        <v>1</v>
      </c>
    </row>
    <row r="459" spans="1:4" x14ac:dyDescent="0.3">
      <c r="A459">
        <v>458</v>
      </c>
      <c r="B459" t="b">
        <f>ROUND(INDEX(FinancialData[Units Sold],1)*INDEX(FinancialData[Sale Price],1),2)=ROUND(INDEX(FinancialData[Gross Sales],1),2)</f>
        <v>1</v>
      </c>
      <c r="C459" s="12" t="b" cm="1">
        <f t="array" ref="C459">ROUND(INDEX(FinancialData[Gross Sales],A459)-INDEX(FinancialData[Discounts],A459),2)=ROUND(INDEX(FinancialData[ [ Sales] ],A459),2)</f>
        <v>1</v>
      </c>
      <c r="D459" t="b" cm="1">
        <f t="array" ref="D459">ROUND(INDEX(FinancialData[ [ Sales] ],A459)-INDEX(FinancialData[COGS],A459),2)=ROUND(INDEX(FinancialData[Profit],A459),2)</f>
        <v>1</v>
      </c>
    </row>
    <row r="460" spans="1:4" x14ac:dyDescent="0.3">
      <c r="A460">
        <v>459</v>
      </c>
      <c r="B460" t="b">
        <f>ROUND(INDEX(FinancialData[Units Sold],1)*INDEX(FinancialData[Sale Price],1),2)=ROUND(INDEX(FinancialData[Gross Sales],1),2)</f>
        <v>1</v>
      </c>
      <c r="C460" s="12" t="b" cm="1">
        <f t="array" ref="C460">ROUND(INDEX(FinancialData[Gross Sales],A460)-INDEX(FinancialData[Discounts],A460),2)=ROUND(INDEX(FinancialData[ [ Sales] ],A460),2)</f>
        <v>1</v>
      </c>
      <c r="D460" t="b" cm="1">
        <f t="array" ref="D460">ROUND(INDEX(FinancialData[ [ Sales] ],A460)-INDEX(FinancialData[COGS],A460),2)=ROUND(INDEX(FinancialData[Profit],A460),2)</f>
        <v>1</v>
      </c>
    </row>
    <row r="461" spans="1:4" x14ac:dyDescent="0.3">
      <c r="A461">
        <v>460</v>
      </c>
      <c r="B461" t="b">
        <f>ROUND(INDEX(FinancialData[Units Sold],1)*INDEX(FinancialData[Sale Price],1),2)=ROUND(INDEX(FinancialData[Gross Sales],1),2)</f>
        <v>1</v>
      </c>
      <c r="C461" s="12" t="b" cm="1">
        <f t="array" ref="C461">ROUND(INDEX(FinancialData[Gross Sales],A461)-INDEX(FinancialData[Discounts],A461),2)=ROUND(INDEX(FinancialData[ [ Sales] ],A461),2)</f>
        <v>1</v>
      </c>
      <c r="D461" t="b" cm="1">
        <f t="array" ref="D461">ROUND(INDEX(FinancialData[ [ Sales] ],A461)-INDEX(FinancialData[COGS],A461),2)=ROUND(INDEX(FinancialData[Profit],A461),2)</f>
        <v>1</v>
      </c>
    </row>
    <row r="462" spans="1:4" x14ac:dyDescent="0.3">
      <c r="A462">
        <v>461</v>
      </c>
      <c r="B462" t="b">
        <f>ROUND(INDEX(FinancialData[Units Sold],1)*INDEX(FinancialData[Sale Price],1),2)=ROUND(INDEX(FinancialData[Gross Sales],1),2)</f>
        <v>1</v>
      </c>
      <c r="C462" s="12" t="b" cm="1">
        <f t="array" ref="C462">ROUND(INDEX(FinancialData[Gross Sales],A462)-INDEX(FinancialData[Discounts],A462),2)=ROUND(INDEX(FinancialData[ [ Sales] ],A462),2)</f>
        <v>1</v>
      </c>
      <c r="D462" t="b" cm="1">
        <f t="array" ref="D462">ROUND(INDEX(FinancialData[ [ Sales] ],A462)-INDEX(FinancialData[COGS],A462),2)=ROUND(INDEX(FinancialData[Profit],A462),2)</f>
        <v>1</v>
      </c>
    </row>
    <row r="463" spans="1:4" x14ac:dyDescent="0.3">
      <c r="A463">
        <v>462</v>
      </c>
      <c r="B463" t="b">
        <f>ROUND(INDEX(FinancialData[Units Sold],1)*INDEX(FinancialData[Sale Price],1),2)=ROUND(INDEX(FinancialData[Gross Sales],1),2)</f>
        <v>1</v>
      </c>
      <c r="C463" s="12" t="b" cm="1">
        <f t="array" ref="C463">ROUND(INDEX(FinancialData[Gross Sales],A463)-INDEX(FinancialData[Discounts],A463),2)=ROUND(INDEX(FinancialData[ [ Sales] ],A463),2)</f>
        <v>1</v>
      </c>
      <c r="D463" t="b" cm="1">
        <f t="array" ref="D463">ROUND(INDEX(FinancialData[ [ Sales] ],A463)-INDEX(FinancialData[COGS],A463),2)=ROUND(INDEX(FinancialData[Profit],A463),2)</f>
        <v>1</v>
      </c>
    </row>
    <row r="464" spans="1:4" x14ac:dyDescent="0.3">
      <c r="A464">
        <v>463</v>
      </c>
      <c r="B464" t="b">
        <f>ROUND(INDEX(FinancialData[Units Sold],1)*INDEX(FinancialData[Sale Price],1),2)=ROUND(INDEX(FinancialData[Gross Sales],1),2)</f>
        <v>1</v>
      </c>
      <c r="C464" s="12" t="b" cm="1">
        <f t="array" ref="C464">ROUND(INDEX(FinancialData[Gross Sales],A464)-INDEX(FinancialData[Discounts],A464),2)=ROUND(INDEX(FinancialData[ [ Sales] ],A464),2)</f>
        <v>1</v>
      </c>
      <c r="D464" t="b" cm="1">
        <f t="array" ref="D464">ROUND(INDEX(FinancialData[ [ Sales] ],A464)-INDEX(FinancialData[COGS],A464),2)=ROUND(INDEX(FinancialData[Profit],A464),2)</f>
        <v>1</v>
      </c>
    </row>
    <row r="465" spans="1:4" x14ac:dyDescent="0.3">
      <c r="A465">
        <v>464</v>
      </c>
      <c r="B465" t="b">
        <f>ROUND(INDEX(FinancialData[Units Sold],1)*INDEX(FinancialData[Sale Price],1),2)=ROUND(INDEX(FinancialData[Gross Sales],1),2)</f>
        <v>1</v>
      </c>
      <c r="C465" s="12" t="b" cm="1">
        <f t="array" ref="C465">ROUND(INDEX(FinancialData[Gross Sales],A465)-INDEX(FinancialData[Discounts],A465),2)=ROUND(INDEX(FinancialData[ [ Sales] ],A465),2)</f>
        <v>1</v>
      </c>
      <c r="D465" t="b" cm="1">
        <f t="array" ref="D465">ROUND(INDEX(FinancialData[ [ Sales] ],A465)-INDEX(FinancialData[COGS],A465),2)=ROUND(INDEX(FinancialData[Profit],A465),2)</f>
        <v>1</v>
      </c>
    </row>
    <row r="466" spans="1:4" x14ac:dyDescent="0.3">
      <c r="A466">
        <v>465</v>
      </c>
      <c r="B466" t="b">
        <f>ROUND(INDEX(FinancialData[Units Sold],1)*INDEX(FinancialData[Sale Price],1),2)=ROUND(INDEX(FinancialData[Gross Sales],1),2)</f>
        <v>1</v>
      </c>
      <c r="C466" s="12" t="b" cm="1">
        <f t="array" ref="C466">ROUND(INDEX(FinancialData[Gross Sales],A466)-INDEX(FinancialData[Discounts],A466),2)=ROUND(INDEX(FinancialData[ [ Sales] ],A466),2)</f>
        <v>1</v>
      </c>
      <c r="D466" t="b" cm="1">
        <f t="array" ref="D466">ROUND(INDEX(FinancialData[ [ Sales] ],A466)-INDEX(FinancialData[COGS],A466),2)=ROUND(INDEX(FinancialData[Profit],A466),2)</f>
        <v>1</v>
      </c>
    </row>
    <row r="467" spans="1:4" x14ac:dyDescent="0.3">
      <c r="A467">
        <v>466</v>
      </c>
      <c r="B467" t="b">
        <f>ROUND(INDEX(FinancialData[Units Sold],1)*INDEX(FinancialData[Sale Price],1),2)=ROUND(INDEX(FinancialData[Gross Sales],1),2)</f>
        <v>1</v>
      </c>
      <c r="C467" s="12" t="b" cm="1">
        <f t="array" ref="C467">ROUND(INDEX(FinancialData[Gross Sales],A467)-INDEX(FinancialData[Discounts],A467),2)=ROUND(INDEX(FinancialData[ [ Sales] ],A467),2)</f>
        <v>1</v>
      </c>
      <c r="D467" t="b" cm="1">
        <f t="array" ref="D467">ROUND(INDEX(FinancialData[ [ Sales] ],A467)-INDEX(FinancialData[COGS],A467),2)=ROUND(INDEX(FinancialData[Profit],A467),2)</f>
        <v>1</v>
      </c>
    </row>
    <row r="468" spans="1:4" x14ac:dyDescent="0.3">
      <c r="A468">
        <v>467</v>
      </c>
      <c r="B468" t="b">
        <f>ROUND(INDEX(FinancialData[Units Sold],1)*INDEX(FinancialData[Sale Price],1),2)=ROUND(INDEX(FinancialData[Gross Sales],1),2)</f>
        <v>1</v>
      </c>
      <c r="C468" s="12" t="b" cm="1">
        <f t="array" ref="C468">ROUND(INDEX(FinancialData[Gross Sales],A468)-INDEX(FinancialData[Discounts],A468),2)=ROUND(INDEX(FinancialData[ [ Sales] ],A468),2)</f>
        <v>1</v>
      </c>
      <c r="D468" t="b" cm="1">
        <f t="array" ref="D468">ROUND(INDEX(FinancialData[ [ Sales] ],A468)-INDEX(FinancialData[COGS],A468),2)=ROUND(INDEX(FinancialData[Profit],A468),2)</f>
        <v>1</v>
      </c>
    </row>
    <row r="469" spans="1:4" x14ac:dyDescent="0.3">
      <c r="A469">
        <v>468</v>
      </c>
      <c r="B469" t="b">
        <f>ROUND(INDEX(FinancialData[Units Sold],1)*INDEX(FinancialData[Sale Price],1),2)=ROUND(INDEX(FinancialData[Gross Sales],1),2)</f>
        <v>1</v>
      </c>
      <c r="C469" s="12" t="b" cm="1">
        <f t="array" ref="C469">ROUND(INDEX(FinancialData[Gross Sales],A469)-INDEX(FinancialData[Discounts],A469),2)=ROUND(INDEX(FinancialData[ [ Sales] ],A469),2)</f>
        <v>1</v>
      </c>
      <c r="D469" t="b" cm="1">
        <f t="array" ref="D469">ROUND(INDEX(FinancialData[ [ Sales] ],A469)-INDEX(FinancialData[COGS],A469),2)=ROUND(INDEX(FinancialData[Profit],A469),2)</f>
        <v>1</v>
      </c>
    </row>
    <row r="470" spans="1:4" x14ac:dyDescent="0.3">
      <c r="A470">
        <v>469</v>
      </c>
      <c r="B470" t="b">
        <f>ROUND(INDEX(FinancialData[Units Sold],1)*INDEX(FinancialData[Sale Price],1),2)=ROUND(INDEX(FinancialData[Gross Sales],1),2)</f>
        <v>1</v>
      </c>
      <c r="C470" s="12" t="b" cm="1">
        <f t="array" ref="C470">ROUND(INDEX(FinancialData[Gross Sales],A470)-INDEX(FinancialData[Discounts],A470),2)=ROUND(INDEX(FinancialData[ [ Sales] ],A470),2)</f>
        <v>1</v>
      </c>
      <c r="D470" t="b" cm="1">
        <f t="array" ref="D470">ROUND(INDEX(FinancialData[ [ Sales] ],A470)-INDEX(FinancialData[COGS],A470),2)=ROUND(INDEX(FinancialData[Profit],A470),2)</f>
        <v>1</v>
      </c>
    </row>
    <row r="471" spans="1:4" x14ac:dyDescent="0.3">
      <c r="A471">
        <v>470</v>
      </c>
      <c r="B471" t="b">
        <f>ROUND(INDEX(FinancialData[Units Sold],1)*INDEX(FinancialData[Sale Price],1),2)=ROUND(INDEX(FinancialData[Gross Sales],1),2)</f>
        <v>1</v>
      </c>
      <c r="C471" s="12" t="b" cm="1">
        <f t="array" ref="C471">ROUND(INDEX(FinancialData[Gross Sales],A471)-INDEX(FinancialData[Discounts],A471),2)=ROUND(INDEX(FinancialData[ [ Sales] ],A471),2)</f>
        <v>1</v>
      </c>
      <c r="D471" t="b" cm="1">
        <f t="array" ref="D471">ROUND(INDEX(FinancialData[ [ Sales] ],A471)-INDEX(FinancialData[COGS],A471),2)=ROUND(INDEX(FinancialData[Profit],A471),2)</f>
        <v>1</v>
      </c>
    </row>
    <row r="472" spans="1:4" x14ac:dyDescent="0.3">
      <c r="A472">
        <v>471</v>
      </c>
      <c r="B472" t="b">
        <f>ROUND(INDEX(FinancialData[Units Sold],1)*INDEX(FinancialData[Sale Price],1),2)=ROUND(INDEX(FinancialData[Gross Sales],1),2)</f>
        <v>1</v>
      </c>
      <c r="C472" s="12" t="b" cm="1">
        <f t="array" ref="C472">ROUND(INDEX(FinancialData[Gross Sales],A472)-INDEX(FinancialData[Discounts],A472),2)=ROUND(INDEX(FinancialData[ [ Sales] ],A472),2)</f>
        <v>1</v>
      </c>
      <c r="D472" t="b" cm="1">
        <f t="array" ref="D472">ROUND(INDEX(FinancialData[ [ Sales] ],A472)-INDEX(FinancialData[COGS],A472),2)=ROUND(INDEX(FinancialData[Profit],A472),2)</f>
        <v>1</v>
      </c>
    </row>
    <row r="473" spans="1:4" x14ac:dyDescent="0.3">
      <c r="A473">
        <v>472</v>
      </c>
      <c r="B473" t="b">
        <f>ROUND(INDEX(FinancialData[Units Sold],1)*INDEX(FinancialData[Sale Price],1),2)=ROUND(INDEX(FinancialData[Gross Sales],1),2)</f>
        <v>1</v>
      </c>
      <c r="C473" s="12" t="b" cm="1">
        <f t="array" ref="C473">ROUND(INDEX(FinancialData[Gross Sales],A473)-INDEX(FinancialData[Discounts],A473),2)=ROUND(INDEX(FinancialData[ [ Sales] ],A473),2)</f>
        <v>1</v>
      </c>
      <c r="D473" t="b" cm="1">
        <f t="array" ref="D473">ROUND(INDEX(FinancialData[ [ Sales] ],A473)-INDEX(FinancialData[COGS],A473),2)=ROUND(INDEX(FinancialData[Profit],A473),2)</f>
        <v>1</v>
      </c>
    </row>
    <row r="474" spans="1:4" x14ac:dyDescent="0.3">
      <c r="A474">
        <v>473</v>
      </c>
      <c r="B474" t="b">
        <f>ROUND(INDEX(FinancialData[Units Sold],1)*INDEX(FinancialData[Sale Price],1),2)=ROUND(INDEX(FinancialData[Gross Sales],1),2)</f>
        <v>1</v>
      </c>
      <c r="C474" s="12" t="b" cm="1">
        <f t="array" ref="C474">ROUND(INDEX(FinancialData[Gross Sales],A474)-INDEX(FinancialData[Discounts],A474),2)=ROUND(INDEX(FinancialData[ [ Sales] ],A474),2)</f>
        <v>1</v>
      </c>
      <c r="D474" t="b" cm="1">
        <f t="array" ref="D474">ROUND(INDEX(FinancialData[ [ Sales] ],A474)-INDEX(FinancialData[COGS],A474),2)=ROUND(INDEX(FinancialData[Profit],A474),2)</f>
        <v>1</v>
      </c>
    </row>
    <row r="475" spans="1:4" x14ac:dyDescent="0.3">
      <c r="A475">
        <v>474</v>
      </c>
      <c r="B475" t="b">
        <f>ROUND(INDEX(FinancialData[Units Sold],1)*INDEX(FinancialData[Sale Price],1),2)=ROUND(INDEX(FinancialData[Gross Sales],1),2)</f>
        <v>1</v>
      </c>
      <c r="C475" s="12" t="b" cm="1">
        <f t="array" ref="C475">ROUND(INDEX(FinancialData[Gross Sales],A475)-INDEX(FinancialData[Discounts],A475),2)=ROUND(INDEX(FinancialData[ [ Sales] ],A475),2)</f>
        <v>1</v>
      </c>
      <c r="D475" t="b" cm="1">
        <f t="array" ref="D475">ROUND(INDEX(FinancialData[ [ Sales] ],A475)-INDEX(FinancialData[COGS],A475),2)=ROUND(INDEX(FinancialData[Profit],A475),2)</f>
        <v>1</v>
      </c>
    </row>
    <row r="476" spans="1:4" x14ac:dyDescent="0.3">
      <c r="A476">
        <v>475</v>
      </c>
      <c r="B476" t="b">
        <f>ROUND(INDEX(FinancialData[Units Sold],1)*INDEX(FinancialData[Sale Price],1),2)=ROUND(INDEX(FinancialData[Gross Sales],1),2)</f>
        <v>1</v>
      </c>
      <c r="C476" s="12" t="b" cm="1">
        <f t="array" ref="C476">ROUND(INDEX(FinancialData[Gross Sales],A476)-INDEX(FinancialData[Discounts],A476),2)=ROUND(INDEX(FinancialData[ [ Sales] ],A476),2)</f>
        <v>1</v>
      </c>
      <c r="D476" t="b" cm="1">
        <f t="array" ref="D476">ROUND(INDEX(FinancialData[ [ Sales] ],A476)-INDEX(FinancialData[COGS],A476),2)=ROUND(INDEX(FinancialData[Profit],A476),2)</f>
        <v>1</v>
      </c>
    </row>
    <row r="477" spans="1:4" x14ac:dyDescent="0.3">
      <c r="A477">
        <v>476</v>
      </c>
      <c r="B477" t="b">
        <f>ROUND(INDEX(FinancialData[Units Sold],1)*INDEX(FinancialData[Sale Price],1),2)=ROUND(INDEX(FinancialData[Gross Sales],1),2)</f>
        <v>1</v>
      </c>
      <c r="C477" s="12" t="b" cm="1">
        <f t="array" ref="C477">ROUND(INDEX(FinancialData[Gross Sales],A477)-INDEX(FinancialData[Discounts],A477),2)=ROUND(INDEX(FinancialData[ [ Sales] ],A477),2)</f>
        <v>1</v>
      </c>
      <c r="D477" t="b" cm="1">
        <f t="array" ref="D477">ROUND(INDEX(FinancialData[ [ Sales] ],A477)-INDEX(FinancialData[COGS],A477),2)=ROUND(INDEX(FinancialData[Profit],A477),2)</f>
        <v>1</v>
      </c>
    </row>
    <row r="478" spans="1:4" x14ac:dyDescent="0.3">
      <c r="A478">
        <v>477</v>
      </c>
      <c r="B478" t="b">
        <f>ROUND(INDEX(FinancialData[Units Sold],1)*INDEX(FinancialData[Sale Price],1),2)=ROUND(INDEX(FinancialData[Gross Sales],1),2)</f>
        <v>1</v>
      </c>
      <c r="C478" s="12" t="b" cm="1">
        <f t="array" ref="C478">ROUND(INDEX(FinancialData[Gross Sales],A478)-INDEX(FinancialData[Discounts],A478),2)=ROUND(INDEX(FinancialData[ [ Sales] ],A478),2)</f>
        <v>1</v>
      </c>
      <c r="D478" t="b" cm="1">
        <f t="array" ref="D478">ROUND(INDEX(FinancialData[ [ Sales] ],A478)-INDEX(FinancialData[COGS],A478),2)=ROUND(INDEX(FinancialData[Profit],A478),2)</f>
        <v>1</v>
      </c>
    </row>
    <row r="479" spans="1:4" x14ac:dyDescent="0.3">
      <c r="A479">
        <v>478</v>
      </c>
      <c r="B479" t="b">
        <f>ROUND(INDEX(FinancialData[Units Sold],1)*INDEX(FinancialData[Sale Price],1),2)=ROUND(INDEX(FinancialData[Gross Sales],1),2)</f>
        <v>1</v>
      </c>
      <c r="C479" s="12" t="b" cm="1">
        <f t="array" ref="C479">ROUND(INDEX(FinancialData[Gross Sales],A479)-INDEX(FinancialData[Discounts],A479),2)=ROUND(INDEX(FinancialData[ [ Sales] ],A479),2)</f>
        <v>1</v>
      </c>
      <c r="D479" t="b" cm="1">
        <f t="array" ref="D479">ROUND(INDEX(FinancialData[ [ Sales] ],A479)-INDEX(FinancialData[COGS],A479),2)=ROUND(INDEX(FinancialData[Profit],A479),2)</f>
        <v>1</v>
      </c>
    </row>
    <row r="480" spans="1:4" x14ac:dyDescent="0.3">
      <c r="A480">
        <v>479</v>
      </c>
      <c r="B480" t="b">
        <f>ROUND(INDEX(FinancialData[Units Sold],1)*INDEX(FinancialData[Sale Price],1),2)=ROUND(INDEX(FinancialData[Gross Sales],1),2)</f>
        <v>1</v>
      </c>
      <c r="C480" s="12" t="b" cm="1">
        <f t="array" ref="C480">ROUND(INDEX(FinancialData[Gross Sales],A480)-INDEX(FinancialData[Discounts],A480),2)=ROUND(INDEX(FinancialData[ [ Sales] ],A480),2)</f>
        <v>1</v>
      </c>
      <c r="D480" t="b" cm="1">
        <f t="array" ref="D480">ROUND(INDEX(FinancialData[ [ Sales] ],A480)-INDEX(FinancialData[COGS],A480),2)=ROUND(INDEX(FinancialData[Profit],A480),2)</f>
        <v>1</v>
      </c>
    </row>
    <row r="481" spans="1:4" x14ac:dyDescent="0.3">
      <c r="A481">
        <v>480</v>
      </c>
      <c r="B481" t="b">
        <f>ROUND(INDEX(FinancialData[Units Sold],1)*INDEX(FinancialData[Sale Price],1),2)=ROUND(INDEX(FinancialData[Gross Sales],1),2)</f>
        <v>1</v>
      </c>
      <c r="C481" s="12" t="b" cm="1">
        <f t="array" ref="C481">ROUND(INDEX(FinancialData[Gross Sales],A481)-INDEX(FinancialData[Discounts],A481),2)=ROUND(INDEX(FinancialData[ [ Sales] ],A481),2)</f>
        <v>1</v>
      </c>
      <c r="D481" t="b" cm="1">
        <f t="array" ref="D481">ROUND(INDEX(FinancialData[ [ Sales] ],A481)-INDEX(FinancialData[COGS],A481),2)=ROUND(INDEX(FinancialData[Profit],A481),2)</f>
        <v>1</v>
      </c>
    </row>
    <row r="482" spans="1:4" x14ac:dyDescent="0.3">
      <c r="A482">
        <v>481</v>
      </c>
      <c r="B482" t="b">
        <f>ROUND(INDEX(FinancialData[Units Sold],1)*INDEX(FinancialData[Sale Price],1),2)=ROUND(INDEX(FinancialData[Gross Sales],1),2)</f>
        <v>1</v>
      </c>
      <c r="C482" s="12" t="b" cm="1">
        <f t="array" ref="C482">ROUND(INDEX(FinancialData[Gross Sales],A482)-INDEX(FinancialData[Discounts],A482),2)=ROUND(INDEX(FinancialData[ [ Sales] ],A482),2)</f>
        <v>1</v>
      </c>
      <c r="D482" t="b" cm="1">
        <f t="array" ref="D482">ROUND(INDEX(FinancialData[ [ Sales] ],A482)-INDEX(FinancialData[COGS],A482),2)=ROUND(INDEX(FinancialData[Profit],A482),2)</f>
        <v>1</v>
      </c>
    </row>
    <row r="483" spans="1:4" x14ac:dyDescent="0.3">
      <c r="A483">
        <v>482</v>
      </c>
      <c r="B483" t="b">
        <f>ROUND(INDEX(FinancialData[Units Sold],1)*INDEX(FinancialData[Sale Price],1),2)=ROUND(INDEX(FinancialData[Gross Sales],1),2)</f>
        <v>1</v>
      </c>
      <c r="C483" s="12" t="b" cm="1">
        <f t="array" ref="C483">ROUND(INDEX(FinancialData[Gross Sales],A483)-INDEX(FinancialData[Discounts],A483),2)=ROUND(INDEX(FinancialData[ [ Sales] ],A483),2)</f>
        <v>1</v>
      </c>
      <c r="D483" t="b" cm="1">
        <f t="array" ref="D483">ROUND(INDEX(FinancialData[ [ Sales] ],A483)-INDEX(FinancialData[COGS],A483),2)=ROUND(INDEX(FinancialData[Profit],A483),2)</f>
        <v>1</v>
      </c>
    </row>
    <row r="484" spans="1:4" x14ac:dyDescent="0.3">
      <c r="A484">
        <v>483</v>
      </c>
      <c r="B484" t="b">
        <f>ROUND(INDEX(FinancialData[Units Sold],1)*INDEX(FinancialData[Sale Price],1),2)=ROUND(INDEX(FinancialData[Gross Sales],1),2)</f>
        <v>1</v>
      </c>
      <c r="C484" s="12" t="b" cm="1">
        <f t="array" ref="C484">ROUND(INDEX(FinancialData[Gross Sales],A484)-INDEX(FinancialData[Discounts],A484),2)=ROUND(INDEX(FinancialData[ [ Sales] ],A484),2)</f>
        <v>1</v>
      </c>
      <c r="D484" t="b" cm="1">
        <f t="array" ref="D484">ROUND(INDEX(FinancialData[ [ Sales] ],A484)-INDEX(FinancialData[COGS],A484),2)=ROUND(INDEX(FinancialData[Profit],A484),2)</f>
        <v>1</v>
      </c>
    </row>
    <row r="485" spans="1:4" x14ac:dyDescent="0.3">
      <c r="A485">
        <v>484</v>
      </c>
      <c r="B485" t="b">
        <f>ROUND(INDEX(FinancialData[Units Sold],1)*INDEX(FinancialData[Sale Price],1),2)=ROUND(INDEX(FinancialData[Gross Sales],1),2)</f>
        <v>1</v>
      </c>
      <c r="C485" s="12" t="b" cm="1">
        <f t="array" ref="C485">ROUND(INDEX(FinancialData[Gross Sales],A485)-INDEX(FinancialData[Discounts],A485),2)=ROUND(INDEX(FinancialData[ [ Sales] ],A485),2)</f>
        <v>1</v>
      </c>
      <c r="D485" t="b" cm="1">
        <f t="array" ref="D485">ROUND(INDEX(FinancialData[ [ Sales] ],A485)-INDEX(FinancialData[COGS],A485),2)=ROUND(INDEX(FinancialData[Profit],A485),2)</f>
        <v>1</v>
      </c>
    </row>
    <row r="486" spans="1:4" x14ac:dyDescent="0.3">
      <c r="A486">
        <v>485</v>
      </c>
      <c r="B486" t="b">
        <f>ROUND(INDEX(FinancialData[Units Sold],1)*INDEX(FinancialData[Sale Price],1),2)=ROUND(INDEX(FinancialData[Gross Sales],1),2)</f>
        <v>1</v>
      </c>
      <c r="C486" s="12" t="b" cm="1">
        <f t="array" ref="C486">ROUND(INDEX(FinancialData[Gross Sales],A486)-INDEX(FinancialData[Discounts],A486),2)=ROUND(INDEX(FinancialData[ [ Sales] ],A486),2)</f>
        <v>1</v>
      </c>
      <c r="D486" t="b" cm="1">
        <f t="array" ref="D486">ROUND(INDEX(FinancialData[ [ Sales] ],A486)-INDEX(FinancialData[COGS],A486),2)=ROUND(INDEX(FinancialData[Profit],A486),2)</f>
        <v>1</v>
      </c>
    </row>
    <row r="487" spans="1:4" x14ac:dyDescent="0.3">
      <c r="A487">
        <v>486</v>
      </c>
      <c r="B487" t="b">
        <f>ROUND(INDEX(FinancialData[Units Sold],1)*INDEX(FinancialData[Sale Price],1),2)=ROUND(INDEX(FinancialData[Gross Sales],1),2)</f>
        <v>1</v>
      </c>
      <c r="C487" s="12" t="b" cm="1">
        <f t="array" ref="C487">ROUND(INDEX(FinancialData[Gross Sales],A487)-INDEX(FinancialData[Discounts],A487),2)=ROUND(INDEX(FinancialData[ [ Sales] ],A487),2)</f>
        <v>1</v>
      </c>
      <c r="D487" t="b" cm="1">
        <f t="array" ref="D487">ROUND(INDEX(FinancialData[ [ Sales] ],A487)-INDEX(FinancialData[COGS],A487),2)=ROUND(INDEX(FinancialData[Profit],A487),2)</f>
        <v>1</v>
      </c>
    </row>
    <row r="488" spans="1:4" x14ac:dyDescent="0.3">
      <c r="A488">
        <v>487</v>
      </c>
      <c r="B488" t="b">
        <f>ROUND(INDEX(FinancialData[Units Sold],1)*INDEX(FinancialData[Sale Price],1),2)=ROUND(INDEX(FinancialData[Gross Sales],1),2)</f>
        <v>1</v>
      </c>
      <c r="C488" s="12" t="b" cm="1">
        <f t="array" ref="C488">ROUND(INDEX(FinancialData[Gross Sales],A488)-INDEX(FinancialData[Discounts],A488),2)=ROUND(INDEX(FinancialData[ [ Sales] ],A488),2)</f>
        <v>1</v>
      </c>
      <c r="D488" t="b" cm="1">
        <f t="array" ref="D488">ROUND(INDEX(FinancialData[ [ Sales] ],A488)-INDEX(FinancialData[COGS],A488),2)=ROUND(INDEX(FinancialData[Profit],A488),2)</f>
        <v>1</v>
      </c>
    </row>
    <row r="489" spans="1:4" x14ac:dyDescent="0.3">
      <c r="A489">
        <v>488</v>
      </c>
      <c r="B489" t="b">
        <f>ROUND(INDEX(FinancialData[Units Sold],1)*INDEX(FinancialData[Sale Price],1),2)=ROUND(INDEX(FinancialData[Gross Sales],1),2)</f>
        <v>1</v>
      </c>
      <c r="C489" s="12" t="b" cm="1">
        <f t="array" ref="C489">ROUND(INDEX(FinancialData[Gross Sales],A489)-INDEX(FinancialData[Discounts],A489),2)=ROUND(INDEX(FinancialData[ [ Sales] ],A489),2)</f>
        <v>1</v>
      </c>
      <c r="D489" t="b" cm="1">
        <f t="array" ref="D489">ROUND(INDEX(FinancialData[ [ Sales] ],A489)-INDEX(FinancialData[COGS],A489),2)=ROUND(INDEX(FinancialData[Profit],A489),2)</f>
        <v>1</v>
      </c>
    </row>
    <row r="490" spans="1:4" x14ac:dyDescent="0.3">
      <c r="A490">
        <v>489</v>
      </c>
      <c r="B490" t="b">
        <f>ROUND(INDEX(FinancialData[Units Sold],1)*INDEX(FinancialData[Sale Price],1),2)=ROUND(INDEX(FinancialData[Gross Sales],1),2)</f>
        <v>1</v>
      </c>
      <c r="C490" s="12" t="b" cm="1">
        <f t="array" ref="C490">ROUND(INDEX(FinancialData[Gross Sales],A490)-INDEX(FinancialData[Discounts],A490),2)=ROUND(INDEX(FinancialData[ [ Sales] ],A490),2)</f>
        <v>1</v>
      </c>
      <c r="D490" t="b" cm="1">
        <f t="array" ref="D490">ROUND(INDEX(FinancialData[ [ Sales] ],A490)-INDEX(FinancialData[COGS],A490),2)=ROUND(INDEX(FinancialData[Profit],A490),2)</f>
        <v>1</v>
      </c>
    </row>
    <row r="491" spans="1:4" x14ac:dyDescent="0.3">
      <c r="A491">
        <v>490</v>
      </c>
      <c r="B491" t="b">
        <f>ROUND(INDEX(FinancialData[Units Sold],1)*INDEX(FinancialData[Sale Price],1),2)=ROUND(INDEX(FinancialData[Gross Sales],1),2)</f>
        <v>1</v>
      </c>
      <c r="C491" s="12" t="b" cm="1">
        <f t="array" ref="C491">ROUND(INDEX(FinancialData[Gross Sales],A491)-INDEX(FinancialData[Discounts],A491),2)=ROUND(INDEX(FinancialData[ [ Sales] ],A491),2)</f>
        <v>1</v>
      </c>
      <c r="D491" t="b" cm="1">
        <f t="array" ref="D491">ROUND(INDEX(FinancialData[ [ Sales] ],A491)-INDEX(FinancialData[COGS],A491),2)=ROUND(INDEX(FinancialData[Profit],A491),2)</f>
        <v>1</v>
      </c>
    </row>
    <row r="492" spans="1:4" x14ac:dyDescent="0.3">
      <c r="A492">
        <v>491</v>
      </c>
      <c r="B492" t="b">
        <f>ROUND(INDEX(FinancialData[Units Sold],1)*INDEX(FinancialData[Sale Price],1),2)=ROUND(INDEX(FinancialData[Gross Sales],1),2)</f>
        <v>1</v>
      </c>
      <c r="C492" s="12" t="b" cm="1">
        <f t="array" ref="C492">ROUND(INDEX(FinancialData[Gross Sales],A492)-INDEX(FinancialData[Discounts],A492),2)=ROUND(INDEX(FinancialData[ [ Sales] ],A492),2)</f>
        <v>1</v>
      </c>
      <c r="D492" t="b" cm="1">
        <f t="array" ref="D492">ROUND(INDEX(FinancialData[ [ Sales] ],A492)-INDEX(FinancialData[COGS],A492),2)=ROUND(INDEX(FinancialData[Profit],A492),2)</f>
        <v>1</v>
      </c>
    </row>
    <row r="493" spans="1:4" x14ac:dyDescent="0.3">
      <c r="A493">
        <v>492</v>
      </c>
      <c r="B493" t="b">
        <f>ROUND(INDEX(FinancialData[Units Sold],1)*INDEX(FinancialData[Sale Price],1),2)=ROUND(INDEX(FinancialData[Gross Sales],1),2)</f>
        <v>1</v>
      </c>
      <c r="C493" s="12" t="b" cm="1">
        <f t="array" ref="C493">ROUND(INDEX(FinancialData[Gross Sales],A493)-INDEX(FinancialData[Discounts],A493),2)=ROUND(INDEX(FinancialData[ [ Sales] ],A493),2)</f>
        <v>1</v>
      </c>
      <c r="D493" t="b" cm="1">
        <f t="array" ref="D493">ROUND(INDEX(FinancialData[ [ Sales] ],A493)-INDEX(FinancialData[COGS],A493),2)=ROUND(INDEX(FinancialData[Profit],A493),2)</f>
        <v>1</v>
      </c>
    </row>
    <row r="494" spans="1:4" x14ac:dyDescent="0.3">
      <c r="A494">
        <v>493</v>
      </c>
      <c r="B494" t="b">
        <f>ROUND(INDEX(FinancialData[Units Sold],1)*INDEX(FinancialData[Sale Price],1),2)=ROUND(INDEX(FinancialData[Gross Sales],1),2)</f>
        <v>1</v>
      </c>
      <c r="C494" s="12" t="b" cm="1">
        <f t="array" ref="C494">ROUND(INDEX(FinancialData[Gross Sales],A494)-INDEX(FinancialData[Discounts],A494),2)=ROUND(INDEX(FinancialData[ [ Sales] ],A494),2)</f>
        <v>1</v>
      </c>
      <c r="D494" t="b" cm="1">
        <f t="array" ref="D494">ROUND(INDEX(FinancialData[ [ Sales] ],A494)-INDEX(FinancialData[COGS],A494),2)=ROUND(INDEX(FinancialData[Profit],A494),2)</f>
        <v>1</v>
      </c>
    </row>
    <row r="495" spans="1:4" x14ac:dyDescent="0.3">
      <c r="A495">
        <v>494</v>
      </c>
      <c r="B495" t="b">
        <f>ROUND(INDEX(FinancialData[Units Sold],1)*INDEX(FinancialData[Sale Price],1),2)=ROUND(INDEX(FinancialData[Gross Sales],1),2)</f>
        <v>1</v>
      </c>
      <c r="C495" s="12" t="b" cm="1">
        <f t="array" ref="C495">ROUND(INDEX(FinancialData[Gross Sales],A495)-INDEX(FinancialData[Discounts],A495),2)=ROUND(INDEX(FinancialData[ [ Sales] ],A495),2)</f>
        <v>1</v>
      </c>
      <c r="D495" t="b" cm="1">
        <f t="array" ref="D495">ROUND(INDEX(FinancialData[ [ Sales] ],A495)-INDEX(FinancialData[COGS],A495),2)=ROUND(INDEX(FinancialData[Profit],A495),2)</f>
        <v>1</v>
      </c>
    </row>
    <row r="496" spans="1:4" x14ac:dyDescent="0.3">
      <c r="A496">
        <v>495</v>
      </c>
      <c r="B496" t="b">
        <f>ROUND(INDEX(FinancialData[Units Sold],1)*INDEX(FinancialData[Sale Price],1),2)=ROUND(INDEX(FinancialData[Gross Sales],1),2)</f>
        <v>1</v>
      </c>
      <c r="C496" s="12" t="b" cm="1">
        <f t="array" ref="C496">ROUND(INDEX(FinancialData[Gross Sales],A496)-INDEX(FinancialData[Discounts],A496),2)=ROUND(INDEX(FinancialData[ [ Sales] ],A496),2)</f>
        <v>1</v>
      </c>
      <c r="D496" t="b" cm="1">
        <f t="array" ref="D496">ROUND(INDEX(FinancialData[ [ Sales] ],A496)-INDEX(FinancialData[COGS],A496),2)=ROUND(INDEX(FinancialData[Profit],A496),2)</f>
        <v>1</v>
      </c>
    </row>
    <row r="497" spans="1:4" x14ac:dyDescent="0.3">
      <c r="A497">
        <v>496</v>
      </c>
      <c r="B497" t="b">
        <f>ROUND(INDEX(FinancialData[Units Sold],1)*INDEX(FinancialData[Sale Price],1),2)=ROUND(INDEX(FinancialData[Gross Sales],1),2)</f>
        <v>1</v>
      </c>
      <c r="C497" s="12" t="b" cm="1">
        <f t="array" ref="C497">ROUND(INDEX(FinancialData[Gross Sales],A497)-INDEX(FinancialData[Discounts],A497),2)=ROUND(INDEX(FinancialData[ [ Sales] ],A497),2)</f>
        <v>1</v>
      </c>
      <c r="D497" t="b" cm="1">
        <f t="array" ref="D497">ROUND(INDEX(FinancialData[ [ Sales] ],A497)-INDEX(FinancialData[COGS],A497),2)=ROUND(INDEX(FinancialData[Profit],A497),2)</f>
        <v>1</v>
      </c>
    </row>
    <row r="498" spans="1:4" x14ac:dyDescent="0.3">
      <c r="A498">
        <v>497</v>
      </c>
      <c r="B498" t="b">
        <f>ROUND(INDEX(FinancialData[Units Sold],1)*INDEX(FinancialData[Sale Price],1),2)=ROUND(INDEX(FinancialData[Gross Sales],1),2)</f>
        <v>1</v>
      </c>
      <c r="C498" s="12" t="b" cm="1">
        <f t="array" ref="C498">ROUND(INDEX(FinancialData[Gross Sales],A498)-INDEX(FinancialData[Discounts],A498),2)=ROUND(INDEX(FinancialData[ [ Sales] ],A498),2)</f>
        <v>1</v>
      </c>
      <c r="D498" t="b" cm="1">
        <f t="array" ref="D498">ROUND(INDEX(FinancialData[ [ Sales] ],A498)-INDEX(FinancialData[COGS],A498),2)=ROUND(INDEX(FinancialData[Profit],A498),2)</f>
        <v>1</v>
      </c>
    </row>
    <row r="499" spans="1:4" x14ac:dyDescent="0.3">
      <c r="A499">
        <v>498</v>
      </c>
      <c r="B499" t="b">
        <f>ROUND(INDEX(FinancialData[Units Sold],1)*INDEX(FinancialData[Sale Price],1),2)=ROUND(INDEX(FinancialData[Gross Sales],1),2)</f>
        <v>1</v>
      </c>
      <c r="C499" s="12" t="b" cm="1">
        <f t="array" ref="C499">ROUND(INDEX(FinancialData[Gross Sales],A499)-INDEX(FinancialData[Discounts],A499),2)=ROUND(INDEX(FinancialData[ [ Sales] ],A499),2)</f>
        <v>1</v>
      </c>
      <c r="D499" t="b" cm="1">
        <f t="array" ref="D499">ROUND(INDEX(FinancialData[ [ Sales] ],A499)-INDEX(FinancialData[COGS],A499),2)=ROUND(INDEX(FinancialData[Profit],A499),2)</f>
        <v>1</v>
      </c>
    </row>
    <row r="500" spans="1:4" x14ac:dyDescent="0.3">
      <c r="A500">
        <v>499</v>
      </c>
      <c r="B500" t="b">
        <f>ROUND(INDEX(FinancialData[Units Sold],1)*INDEX(FinancialData[Sale Price],1),2)=ROUND(INDEX(FinancialData[Gross Sales],1),2)</f>
        <v>1</v>
      </c>
      <c r="C500" s="12" t="b" cm="1">
        <f t="array" ref="C500">ROUND(INDEX(FinancialData[Gross Sales],A500)-INDEX(FinancialData[Discounts],A500),2)=ROUND(INDEX(FinancialData[ [ Sales] ],A500),2)</f>
        <v>1</v>
      </c>
      <c r="D500" t="b" cm="1">
        <f t="array" ref="D500">ROUND(INDEX(FinancialData[ [ Sales] ],A500)-INDEX(FinancialData[COGS],A500),2)=ROUND(INDEX(FinancialData[Profit],A500),2)</f>
        <v>1</v>
      </c>
    </row>
    <row r="501" spans="1:4" x14ac:dyDescent="0.3">
      <c r="A501">
        <v>500</v>
      </c>
      <c r="B501" t="b">
        <f>ROUND(INDEX(FinancialData[Units Sold],1)*INDEX(FinancialData[Sale Price],1),2)=ROUND(INDEX(FinancialData[Gross Sales],1),2)</f>
        <v>1</v>
      </c>
      <c r="C501" s="12" t="b" cm="1">
        <f t="array" ref="C501">ROUND(INDEX(FinancialData[Gross Sales],A501)-INDEX(FinancialData[Discounts],A501),2)=ROUND(INDEX(FinancialData[ [ Sales] ],A501),2)</f>
        <v>1</v>
      </c>
      <c r="D501" t="b" cm="1">
        <f t="array" ref="D501">ROUND(INDEX(FinancialData[ [ Sales] ],A501)-INDEX(FinancialData[COGS],A501),2)=ROUND(INDEX(FinancialData[Profit],A501),2)</f>
        <v>1</v>
      </c>
    </row>
    <row r="502" spans="1:4" x14ac:dyDescent="0.3">
      <c r="A502">
        <v>501</v>
      </c>
      <c r="B502" t="b">
        <f>ROUND(INDEX(FinancialData[Units Sold],1)*INDEX(FinancialData[Sale Price],1),2)=ROUND(INDEX(FinancialData[Gross Sales],1),2)</f>
        <v>1</v>
      </c>
      <c r="C502" s="12" t="b" cm="1">
        <f t="array" ref="C502">ROUND(INDEX(FinancialData[Gross Sales],A502)-INDEX(FinancialData[Discounts],A502),2)=ROUND(INDEX(FinancialData[ [ Sales] ],A502),2)</f>
        <v>1</v>
      </c>
      <c r="D502" t="b" cm="1">
        <f t="array" ref="D502">ROUND(INDEX(FinancialData[ [ Sales] ],A502)-INDEX(FinancialData[COGS],A502),2)=ROUND(INDEX(FinancialData[Profit],A502),2)</f>
        <v>1</v>
      </c>
    </row>
    <row r="503" spans="1:4" x14ac:dyDescent="0.3">
      <c r="A503">
        <v>502</v>
      </c>
      <c r="B503" t="b">
        <f>ROUND(INDEX(FinancialData[Units Sold],1)*INDEX(FinancialData[Sale Price],1),2)=ROUND(INDEX(FinancialData[Gross Sales],1),2)</f>
        <v>1</v>
      </c>
      <c r="C503" s="12" t="b" cm="1">
        <f t="array" ref="C503">ROUND(INDEX(FinancialData[Gross Sales],A503)-INDEX(FinancialData[Discounts],A503),2)=ROUND(INDEX(FinancialData[ [ Sales] ],A503),2)</f>
        <v>1</v>
      </c>
      <c r="D503" t="b" cm="1">
        <f t="array" ref="D503">ROUND(INDEX(FinancialData[ [ Sales] ],A503)-INDEX(FinancialData[COGS],A503),2)=ROUND(INDEX(FinancialData[Profit],A503),2)</f>
        <v>1</v>
      </c>
    </row>
    <row r="504" spans="1:4" x14ac:dyDescent="0.3">
      <c r="A504">
        <v>503</v>
      </c>
      <c r="B504" t="b">
        <f>ROUND(INDEX(FinancialData[Units Sold],1)*INDEX(FinancialData[Sale Price],1),2)=ROUND(INDEX(FinancialData[Gross Sales],1),2)</f>
        <v>1</v>
      </c>
      <c r="C504" s="12" t="b" cm="1">
        <f t="array" ref="C504">ROUND(INDEX(FinancialData[Gross Sales],A504)-INDEX(FinancialData[Discounts],A504),2)=ROUND(INDEX(FinancialData[ [ Sales] ],A504),2)</f>
        <v>1</v>
      </c>
      <c r="D504" t="b" cm="1">
        <f t="array" ref="D504">ROUND(INDEX(FinancialData[ [ Sales] ],A504)-INDEX(FinancialData[COGS],A504),2)=ROUND(INDEX(FinancialData[Profit],A504),2)</f>
        <v>1</v>
      </c>
    </row>
    <row r="505" spans="1:4" x14ac:dyDescent="0.3">
      <c r="A505">
        <v>504</v>
      </c>
      <c r="B505" t="b">
        <f>ROUND(INDEX(FinancialData[Units Sold],1)*INDEX(FinancialData[Sale Price],1),2)=ROUND(INDEX(FinancialData[Gross Sales],1),2)</f>
        <v>1</v>
      </c>
      <c r="C505" s="12" t="b" cm="1">
        <f t="array" ref="C505">ROUND(INDEX(FinancialData[Gross Sales],A505)-INDEX(FinancialData[Discounts],A505),2)=ROUND(INDEX(FinancialData[ [ Sales] ],A505),2)</f>
        <v>1</v>
      </c>
      <c r="D505" t="b" cm="1">
        <f t="array" ref="D505">ROUND(INDEX(FinancialData[ [ Sales] ],A505)-INDEX(FinancialData[COGS],A505),2)=ROUND(INDEX(FinancialData[Profit],A505),2)</f>
        <v>1</v>
      </c>
    </row>
    <row r="506" spans="1:4" x14ac:dyDescent="0.3">
      <c r="A506">
        <v>505</v>
      </c>
      <c r="B506" t="b">
        <f>ROUND(INDEX(FinancialData[Units Sold],1)*INDEX(FinancialData[Sale Price],1),2)=ROUND(INDEX(FinancialData[Gross Sales],1),2)</f>
        <v>1</v>
      </c>
      <c r="C506" s="12" t="b" cm="1">
        <f t="array" ref="C506">ROUND(INDEX(FinancialData[Gross Sales],A506)-INDEX(FinancialData[Discounts],A506),2)=ROUND(INDEX(FinancialData[ [ Sales] ],A506),2)</f>
        <v>1</v>
      </c>
      <c r="D506" t="b" cm="1">
        <f t="array" ref="D506">ROUND(INDEX(FinancialData[ [ Sales] ],A506)-INDEX(FinancialData[COGS],A506),2)=ROUND(INDEX(FinancialData[Profit],A506),2)</f>
        <v>1</v>
      </c>
    </row>
    <row r="507" spans="1:4" x14ac:dyDescent="0.3">
      <c r="A507">
        <v>506</v>
      </c>
      <c r="B507" t="b">
        <f>ROUND(INDEX(FinancialData[Units Sold],1)*INDEX(FinancialData[Sale Price],1),2)=ROUND(INDEX(FinancialData[Gross Sales],1),2)</f>
        <v>1</v>
      </c>
      <c r="C507" s="12" t="b" cm="1">
        <f t="array" ref="C507">ROUND(INDEX(FinancialData[Gross Sales],A507)-INDEX(FinancialData[Discounts],A507),2)=ROUND(INDEX(FinancialData[ [ Sales] ],A507),2)</f>
        <v>1</v>
      </c>
      <c r="D507" t="b" cm="1">
        <f t="array" ref="D507">ROUND(INDEX(FinancialData[ [ Sales] ],A507)-INDEX(FinancialData[COGS],A507),2)=ROUND(INDEX(FinancialData[Profit],A507),2)</f>
        <v>1</v>
      </c>
    </row>
    <row r="508" spans="1:4" x14ac:dyDescent="0.3">
      <c r="A508">
        <v>507</v>
      </c>
      <c r="B508" t="b">
        <f>ROUND(INDEX(FinancialData[Units Sold],1)*INDEX(FinancialData[Sale Price],1),2)=ROUND(INDEX(FinancialData[Gross Sales],1),2)</f>
        <v>1</v>
      </c>
      <c r="C508" s="12" t="b" cm="1">
        <f t="array" ref="C508">ROUND(INDEX(FinancialData[Gross Sales],A508)-INDEX(FinancialData[Discounts],A508),2)=ROUND(INDEX(FinancialData[ [ Sales] ],A508),2)</f>
        <v>1</v>
      </c>
      <c r="D508" t="b" cm="1">
        <f t="array" ref="D508">ROUND(INDEX(FinancialData[ [ Sales] ],A508)-INDEX(FinancialData[COGS],A508),2)=ROUND(INDEX(FinancialData[Profit],A508),2)</f>
        <v>1</v>
      </c>
    </row>
    <row r="509" spans="1:4" x14ac:dyDescent="0.3">
      <c r="A509">
        <v>508</v>
      </c>
      <c r="B509" t="b">
        <f>ROUND(INDEX(FinancialData[Units Sold],1)*INDEX(FinancialData[Sale Price],1),2)=ROUND(INDEX(FinancialData[Gross Sales],1),2)</f>
        <v>1</v>
      </c>
      <c r="C509" s="12" t="b" cm="1">
        <f t="array" ref="C509">ROUND(INDEX(FinancialData[Gross Sales],A509)-INDEX(FinancialData[Discounts],A509),2)=ROUND(INDEX(FinancialData[ [ Sales] ],A509),2)</f>
        <v>1</v>
      </c>
      <c r="D509" t="b" cm="1">
        <f t="array" ref="D509">ROUND(INDEX(FinancialData[ [ Sales] ],A509)-INDEX(FinancialData[COGS],A509),2)=ROUND(INDEX(FinancialData[Profit],A509),2)</f>
        <v>1</v>
      </c>
    </row>
    <row r="510" spans="1:4" x14ac:dyDescent="0.3">
      <c r="A510">
        <v>509</v>
      </c>
      <c r="B510" t="b">
        <f>ROUND(INDEX(FinancialData[Units Sold],1)*INDEX(FinancialData[Sale Price],1),2)=ROUND(INDEX(FinancialData[Gross Sales],1),2)</f>
        <v>1</v>
      </c>
      <c r="C510" s="12" t="b" cm="1">
        <f t="array" ref="C510">ROUND(INDEX(FinancialData[Gross Sales],A510)-INDEX(FinancialData[Discounts],A510),2)=ROUND(INDEX(FinancialData[ [ Sales] ],A510),2)</f>
        <v>1</v>
      </c>
      <c r="D510" t="b" cm="1">
        <f t="array" ref="D510">ROUND(INDEX(FinancialData[ [ Sales] ],A510)-INDEX(FinancialData[COGS],A510),2)=ROUND(INDEX(FinancialData[Profit],A510),2)</f>
        <v>1</v>
      </c>
    </row>
    <row r="511" spans="1:4" x14ac:dyDescent="0.3">
      <c r="A511">
        <v>510</v>
      </c>
      <c r="B511" t="b">
        <f>ROUND(INDEX(FinancialData[Units Sold],1)*INDEX(FinancialData[Sale Price],1),2)=ROUND(INDEX(FinancialData[Gross Sales],1),2)</f>
        <v>1</v>
      </c>
      <c r="C511" s="12" t="b" cm="1">
        <f t="array" ref="C511">ROUND(INDEX(FinancialData[Gross Sales],A511)-INDEX(FinancialData[Discounts],A511),2)=ROUND(INDEX(FinancialData[ [ Sales] ],A511),2)</f>
        <v>1</v>
      </c>
      <c r="D511" t="b" cm="1">
        <f t="array" ref="D511">ROUND(INDEX(FinancialData[ [ Sales] ],A511)-INDEX(FinancialData[COGS],A511),2)=ROUND(INDEX(FinancialData[Profit],A511),2)</f>
        <v>1</v>
      </c>
    </row>
    <row r="512" spans="1:4" x14ac:dyDescent="0.3">
      <c r="A512">
        <v>511</v>
      </c>
      <c r="B512" t="b">
        <f>ROUND(INDEX(FinancialData[Units Sold],1)*INDEX(FinancialData[Sale Price],1),2)=ROUND(INDEX(FinancialData[Gross Sales],1),2)</f>
        <v>1</v>
      </c>
      <c r="C512" s="12" t="b" cm="1">
        <f t="array" ref="C512">ROUND(INDEX(FinancialData[Gross Sales],A512)-INDEX(FinancialData[Discounts],A512),2)=ROUND(INDEX(FinancialData[ [ Sales] ],A512),2)</f>
        <v>1</v>
      </c>
      <c r="D512" t="b" cm="1">
        <f t="array" ref="D512">ROUND(INDEX(FinancialData[ [ Sales] ],A512)-INDEX(FinancialData[COGS],A512),2)=ROUND(INDEX(FinancialData[Profit],A512),2)</f>
        <v>1</v>
      </c>
    </row>
    <row r="513" spans="1:4" x14ac:dyDescent="0.3">
      <c r="A513">
        <v>512</v>
      </c>
      <c r="B513" t="b">
        <f>ROUND(INDEX(FinancialData[Units Sold],1)*INDEX(FinancialData[Sale Price],1),2)=ROUND(INDEX(FinancialData[Gross Sales],1),2)</f>
        <v>1</v>
      </c>
      <c r="C513" s="12" t="b" cm="1">
        <f t="array" ref="C513">ROUND(INDEX(FinancialData[Gross Sales],A513)-INDEX(FinancialData[Discounts],A513),2)=ROUND(INDEX(FinancialData[ [ Sales] ],A513),2)</f>
        <v>1</v>
      </c>
      <c r="D513" t="b" cm="1">
        <f t="array" ref="D513">ROUND(INDEX(FinancialData[ [ Sales] ],A513)-INDEX(FinancialData[COGS],A513),2)=ROUND(INDEX(FinancialData[Profit],A513),2)</f>
        <v>1</v>
      </c>
    </row>
    <row r="514" spans="1:4" x14ac:dyDescent="0.3">
      <c r="A514">
        <v>513</v>
      </c>
      <c r="B514" t="b">
        <f>ROUND(INDEX(FinancialData[Units Sold],1)*INDEX(FinancialData[Sale Price],1),2)=ROUND(INDEX(FinancialData[Gross Sales],1),2)</f>
        <v>1</v>
      </c>
      <c r="C514" s="12" t="b" cm="1">
        <f t="array" ref="C514">ROUND(INDEX(FinancialData[Gross Sales],A514)-INDEX(FinancialData[Discounts],A514),2)=ROUND(INDEX(FinancialData[ [ Sales] ],A514),2)</f>
        <v>1</v>
      </c>
      <c r="D514" t="b" cm="1">
        <f t="array" ref="D514">ROUND(INDEX(FinancialData[ [ Sales] ],A514)-INDEX(FinancialData[COGS],A514),2)=ROUND(INDEX(FinancialData[Profit],A514),2)</f>
        <v>1</v>
      </c>
    </row>
    <row r="515" spans="1:4" x14ac:dyDescent="0.3">
      <c r="A515">
        <v>514</v>
      </c>
      <c r="B515" t="b">
        <f>ROUND(INDEX(FinancialData[Units Sold],1)*INDEX(FinancialData[Sale Price],1),2)=ROUND(INDEX(FinancialData[Gross Sales],1),2)</f>
        <v>1</v>
      </c>
      <c r="C515" s="12" t="b" cm="1">
        <f t="array" ref="C515">ROUND(INDEX(FinancialData[Gross Sales],A515)-INDEX(FinancialData[Discounts],A515),2)=ROUND(INDEX(FinancialData[ [ Sales] ],A515),2)</f>
        <v>1</v>
      </c>
      <c r="D515" t="b" cm="1">
        <f t="array" ref="D515">ROUND(INDEX(FinancialData[ [ Sales] ],A515)-INDEX(FinancialData[COGS],A515),2)=ROUND(INDEX(FinancialData[Profit],A515),2)</f>
        <v>1</v>
      </c>
    </row>
    <row r="516" spans="1:4" x14ac:dyDescent="0.3">
      <c r="A516">
        <v>515</v>
      </c>
      <c r="B516" t="b">
        <f>ROUND(INDEX(FinancialData[Units Sold],1)*INDEX(FinancialData[Sale Price],1),2)=ROUND(INDEX(FinancialData[Gross Sales],1),2)</f>
        <v>1</v>
      </c>
      <c r="C516" s="12" t="b" cm="1">
        <f t="array" ref="C516">ROUND(INDEX(FinancialData[Gross Sales],A516)-INDEX(FinancialData[Discounts],A516),2)=ROUND(INDEX(FinancialData[ [ Sales] ],A516),2)</f>
        <v>1</v>
      </c>
      <c r="D516" t="b" cm="1">
        <f t="array" ref="D516">ROUND(INDEX(FinancialData[ [ Sales] ],A516)-INDEX(FinancialData[COGS],A516),2)=ROUND(INDEX(FinancialData[Profit],A516),2)</f>
        <v>1</v>
      </c>
    </row>
    <row r="517" spans="1:4" x14ac:dyDescent="0.3">
      <c r="A517">
        <v>516</v>
      </c>
      <c r="B517" t="b">
        <f>ROUND(INDEX(FinancialData[Units Sold],1)*INDEX(FinancialData[Sale Price],1),2)=ROUND(INDEX(FinancialData[Gross Sales],1),2)</f>
        <v>1</v>
      </c>
      <c r="C517" s="12" t="b" cm="1">
        <f t="array" ref="C517">ROUND(INDEX(FinancialData[Gross Sales],A517)-INDEX(FinancialData[Discounts],A517),2)=ROUND(INDEX(FinancialData[ [ Sales] ],A517),2)</f>
        <v>1</v>
      </c>
      <c r="D517" t="b" cm="1">
        <f t="array" ref="D517">ROUND(INDEX(FinancialData[ [ Sales] ],A517)-INDEX(FinancialData[COGS],A517),2)=ROUND(INDEX(FinancialData[Profit],A517),2)</f>
        <v>1</v>
      </c>
    </row>
    <row r="518" spans="1:4" x14ac:dyDescent="0.3">
      <c r="A518">
        <v>517</v>
      </c>
      <c r="B518" t="b">
        <f>ROUND(INDEX(FinancialData[Units Sold],1)*INDEX(FinancialData[Sale Price],1),2)=ROUND(INDEX(FinancialData[Gross Sales],1),2)</f>
        <v>1</v>
      </c>
      <c r="C518" s="12" t="b" cm="1">
        <f t="array" ref="C518">ROUND(INDEX(FinancialData[Gross Sales],A518)-INDEX(FinancialData[Discounts],A518),2)=ROUND(INDEX(FinancialData[ [ Sales] ],A518),2)</f>
        <v>1</v>
      </c>
      <c r="D518" t="b" cm="1">
        <f t="array" ref="D518">ROUND(INDEX(FinancialData[ [ Sales] ],A518)-INDEX(FinancialData[COGS],A518),2)=ROUND(INDEX(FinancialData[Profit],A518),2)</f>
        <v>1</v>
      </c>
    </row>
    <row r="519" spans="1:4" x14ac:dyDescent="0.3">
      <c r="A519">
        <v>518</v>
      </c>
      <c r="B519" t="b">
        <f>ROUND(INDEX(FinancialData[Units Sold],1)*INDEX(FinancialData[Sale Price],1),2)=ROUND(INDEX(FinancialData[Gross Sales],1),2)</f>
        <v>1</v>
      </c>
      <c r="C519" s="12" t="b" cm="1">
        <f t="array" ref="C519">ROUND(INDEX(FinancialData[Gross Sales],A519)-INDEX(FinancialData[Discounts],A519),2)=ROUND(INDEX(FinancialData[ [ Sales] ],A519),2)</f>
        <v>1</v>
      </c>
      <c r="D519" t="b" cm="1">
        <f t="array" ref="D519">ROUND(INDEX(FinancialData[ [ Sales] ],A519)-INDEX(FinancialData[COGS],A519),2)=ROUND(INDEX(FinancialData[Profit],A519),2)</f>
        <v>1</v>
      </c>
    </row>
    <row r="520" spans="1:4" x14ac:dyDescent="0.3">
      <c r="A520">
        <v>519</v>
      </c>
      <c r="B520" t="b">
        <f>ROUND(INDEX(FinancialData[Units Sold],1)*INDEX(FinancialData[Sale Price],1),2)=ROUND(INDEX(FinancialData[Gross Sales],1),2)</f>
        <v>1</v>
      </c>
      <c r="C520" s="12" t="b" cm="1">
        <f t="array" ref="C520">ROUND(INDEX(FinancialData[Gross Sales],A520)-INDEX(FinancialData[Discounts],A520),2)=ROUND(INDEX(FinancialData[ [ Sales] ],A520),2)</f>
        <v>1</v>
      </c>
      <c r="D520" t="b" cm="1">
        <f t="array" ref="D520">ROUND(INDEX(FinancialData[ [ Sales] ],A520)-INDEX(FinancialData[COGS],A520),2)=ROUND(INDEX(FinancialData[Profit],A520),2)</f>
        <v>1</v>
      </c>
    </row>
    <row r="521" spans="1:4" x14ac:dyDescent="0.3">
      <c r="A521">
        <v>520</v>
      </c>
      <c r="B521" t="b">
        <f>ROUND(INDEX(FinancialData[Units Sold],1)*INDEX(FinancialData[Sale Price],1),2)=ROUND(INDEX(FinancialData[Gross Sales],1),2)</f>
        <v>1</v>
      </c>
      <c r="C521" s="12" t="b" cm="1">
        <f t="array" ref="C521">ROUND(INDEX(FinancialData[Gross Sales],A521)-INDEX(FinancialData[Discounts],A521),2)=ROUND(INDEX(FinancialData[ [ Sales] ],A521),2)</f>
        <v>1</v>
      </c>
      <c r="D521" t="b" cm="1">
        <f t="array" ref="D521">ROUND(INDEX(FinancialData[ [ Sales] ],A521)-INDEX(FinancialData[COGS],A521),2)=ROUND(INDEX(FinancialData[Profit],A521),2)</f>
        <v>1</v>
      </c>
    </row>
    <row r="522" spans="1:4" x14ac:dyDescent="0.3">
      <c r="A522">
        <v>521</v>
      </c>
      <c r="B522" t="b">
        <f>ROUND(INDEX(FinancialData[Units Sold],1)*INDEX(FinancialData[Sale Price],1),2)=ROUND(INDEX(FinancialData[Gross Sales],1),2)</f>
        <v>1</v>
      </c>
      <c r="C522" s="12" t="b" cm="1">
        <f t="array" ref="C522">ROUND(INDEX(FinancialData[Gross Sales],A522)-INDEX(FinancialData[Discounts],A522),2)=ROUND(INDEX(FinancialData[ [ Sales] ],A522),2)</f>
        <v>1</v>
      </c>
      <c r="D522" t="b" cm="1">
        <f t="array" ref="D522">ROUND(INDEX(FinancialData[ [ Sales] ],A522)-INDEX(FinancialData[COGS],A522),2)=ROUND(INDEX(FinancialData[Profit],A522),2)</f>
        <v>1</v>
      </c>
    </row>
    <row r="523" spans="1:4" x14ac:dyDescent="0.3">
      <c r="A523">
        <v>522</v>
      </c>
      <c r="B523" t="b">
        <f>ROUND(INDEX(FinancialData[Units Sold],1)*INDEX(FinancialData[Sale Price],1),2)=ROUND(INDEX(FinancialData[Gross Sales],1),2)</f>
        <v>1</v>
      </c>
      <c r="C523" s="12" t="b" cm="1">
        <f t="array" ref="C523">ROUND(INDEX(FinancialData[Gross Sales],A523)-INDEX(FinancialData[Discounts],A523),2)=ROUND(INDEX(FinancialData[ [ Sales] ],A523),2)</f>
        <v>1</v>
      </c>
      <c r="D523" t="b" cm="1">
        <f t="array" ref="D523">ROUND(INDEX(FinancialData[ [ Sales] ],A523)-INDEX(FinancialData[COGS],A523),2)=ROUND(INDEX(FinancialData[Profit],A523),2)</f>
        <v>1</v>
      </c>
    </row>
    <row r="524" spans="1:4" x14ac:dyDescent="0.3">
      <c r="A524">
        <v>523</v>
      </c>
      <c r="B524" t="b">
        <f>ROUND(INDEX(FinancialData[Units Sold],1)*INDEX(FinancialData[Sale Price],1),2)=ROUND(INDEX(FinancialData[Gross Sales],1),2)</f>
        <v>1</v>
      </c>
      <c r="C524" s="12" t="b" cm="1">
        <f t="array" ref="C524">ROUND(INDEX(FinancialData[Gross Sales],A524)-INDEX(FinancialData[Discounts],A524),2)=ROUND(INDEX(FinancialData[ [ Sales] ],A524),2)</f>
        <v>1</v>
      </c>
      <c r="D524" t="b" cm="1">
        <f t="array" ref="D524">ROUND(INDEX(FinancialData[ [ Sales] ],A524)-INDEX(FinancialData[COGS],A524),2)=ROUND(INDEX(FinancialData[Profit],A524),2)</f>
        <v>1</v>
      </c>
    </row>
    <row r="525" spans="1:4" x14ac:dyDescent="0.3">
      <c r="A525">
        <v>524</v>
      </c>
      <c r="B525" t="b">
        <f>ROUND(INDEX(FinancialData[Units Sold],1)*INDEX(FinancialData[Sale Price],1),2)=ROUND(INDEX(FinancialData[Gross Sales],1),2)</f>
        <v>1</v>
      </c>
      <c r="C525" s="12" t="b" cm="1">
        <f t="array" ref="C525">ROUND(INDEX(FinancialData[Gross Sales],A525)-INDEX(FinancialData[Discounts],A525),2)=ROUND(INDEX(FinancialData[ [ Sales] ],A525),2)</f>
        <v>1</v>
      </c>
      <c r="D525" t="b" cm="1">
        <f t="array" ref="D525">ROUND(INDEX(FinancialData[ [ Sales] ],A525)-INDEX(FinancialData[COGS],A525),2)=ROUND(INDEX(FinancialData[Profit],A525),2)</f>
        <v>1</v>
      </c>
    </row>
    <row r="526" spans="1:4" x14ac:dyDescent="0.3">
      <c r="A526">
        <v>525</v>
      </c>
      <c r="B526" t="b">
        <f>ROUND(INDEX(FinancialData[Units Sold],1)*INDEX(FinancialData[Sale Price],1),2)=ROUND(INDEX(FinancialData[Gross Sales],1),2)</f>
        <v>1</v>
      </c>
      <c r="C526" s="12" t="b" cm="1">
        <f t="array" ref="C526">ROUND(INDEX(FinancialData[Gross Sales],A526)-INDEX(FinancialData[Discounts],A526),2)=ROUND(INDEX(FinancialData[ [ Sales] ],A526),2)</f>
        <v>1</v>
      </c>
      <c r="D526" t="b" cm="1">
        <f t="array" ref="D526">ROUND(INDEX(FinancialData[ [ Sales] ],A526)-INDEX(FinancialData[COGS],A526),2)=ROUND(INDEX(FinancialData[Profit],A526),2)</f>
        <v>1</v>
      </c>
    </row>
    <row r="527" spans="1:4" x14ac:dyDescent="0.3">
      <c r="A527">
        <v>526</v>
      </c>
      <c r="B527" t="b">
        <f>ROUND(INDEX(FinancialData[Units Sold],1)*INDEX(FinancialData[Sale Price],1),2)=ROUND(INDEX(FinancialData[Gross Sales],1),2)</f>
        <v>1</v>
      </c>
      <c r="C527" s="12" t="b" cm="1">
        <f t="array" ref="C527">ROUND(INDEX(FinancialData[Gross Sales],A527)-INDEX(FinancialData[Discounts],A527),2)=ROUND(INDEX(FinancialData[ [ Sales] ],A527),2)</f>
        <v>1</v>
      </c>
      <c r="D527" t="b" cm="1">
        <f t="array" ref="D527">ROUND(INDEX(FinancialData[ [ Sales] ],A527)-INDEX(FinancialData[COGS],A527),2)=ROUND(INDEX(FinancialData[Profit],A527),2)</f>
        <v>1</v>
      </c>
    </row>
    <row r="528" spans="1:4" x14ac:dyDescent="0.3">
      <c r="A528">
        <v>527</v>
      </c>
      <c r="B528" t="b">
        <f>ROUND(INDEX(FinancialData[Units Sold],1)*INDEX(FinancialData[Sale Price],1),2)=ROUND(INDEX(FinancialData[Gross Sales],1),2)</f>
        <v>1</v>
      </c>
      <c r="C528" s="12" t="b" cm="1">
        <f t="array" ref="C528">ROUND(INDEX(FinancialData[Gross Sales],A528)-INDEX(FinancialData[Discounts],A528),2)=ROUND(INDEX(FinancialData[ [ Sales] ],A528),2)</f>
        <v>1</v>
      </c>
      <c r="D528" t="b" cm="1">
        <f t="array" ref="D528">ROUND(INDEX(FinancialData[ [ Sales] ],A528)-INDEX(FinancialData[COGS],A528),2)=ROUND(INDEX(FinancialData[Profit],A528),2)</f>
        <v>1</v>
      </c>
    </row>
    <row r="529" spans="1:4" x14ac:dyDescent="0.3">
      <c r="A529">
        <v>528</v>
      </c>
      <c r="B529" t="b">
        <f>ROUND(INDEX(FinancialData[Units Sold],1)*INDEX(FinancialData[Sale Price],1),2)=ROUND(INDEX(FinancialData[Gross Sales],1),2)</f>
        <v>1</v>
      </c>
      <c r="C529" s="12" t="b" cm="1">
        <f t="array" ref="C529">ROUND(INDEX(FinancialData[Gross Sales],A529)-INDEX(FinancialData[Discounts],A529),2)=ROUND(INDEX(FinancialData[ [ Sales] ],A529),2)</f>
        <v>1</v>
      </c>
      <c r="D529" t="b" cm="1">
        <f t="array" ref="D529">ROUND(INDEX(FinancialData[ [ Sales] ],A529)-INDEX(FinancialData[COGS],A529),2)=ROUND(INDEX(FinancialData[Profit],A529),2)</f>
        <v>1</v>
      </c>
    </row>
    <row r="530" spans="1:4" x14ac:dyDescent="0.3">
      <c r="A530">
        <v>529</v>
      </c>
      <c r="B530" t="b">
        <f>ROUND(INDEX(FinancialData[Units Sold],1)*INDEX(FinancialData[Sale Price],1),2)=ROUND(INDEX(FinancialData[Gross Sales],1),2)</f>
        <v>1</v>
      </c>
      <c r="C530" s="12" t="b" cm="1">
        <f t="array" ref="C530">ROUND(INDEX(FinancialData[Gross Sales],A530)-INDEX(FinancialData[Discounts],A530),2)=ROUND(INDEX(FinancialData[ [ Sales] ],A530),2)</f>
        <v>1</v>
      </c>
      <c r="D530" t="b" cm="1">
        <f t="array" ref="D530">ROUND(INDEX(FinancialData[ [ Sales] ],A530)-INDEX(FinancialData[COGS],A530),2)=ROUND(INDEX(FinancialData[Profit],A530),2)</f>
        <v>1</v>
      </c>
    </row>
    <row r="531" spans="1:4" x14ac:dyDescent="0.3">
      <c r="A531">
        <v>530</v>
      </c>
      <c r="B531" t="b">
        <f>ROUND(INDEX(FinancialData[Units Sold],1)*INDEX(FinancialData[Sale Price],1),2)=ROUND(INDEX(FinancialData[Gross Sales],1),2)</f>
        <v>1</v>
      </c>
      <c r="C531" s="12" t="b" cm="1">
        <f t="array" ref="C531">ROUND(INDEX(FinancialData[Gross Sales],A531)-INDEX(FinancialData[Discounts],A531),2)=ROUND(INDEX(FinancialData[ [ Sales] ],A531),2)</f>
        <v>1</v>
      </c>
      <c r="D531" t="b" cm="1">
        <f t="array" ref="D531">ROUND(INDEX(FinancialData[ [ Sales] ],A531)-INDEX(FinancialData[COGS],A531),2)=ROUND(INDEX(FinancialData[Profit],A531),2)</f>
        <v>1</v>
      </c>
    </row>
    <row r="532" spans="1:4" x14ac:dyDescent="0.3">
      <c r="A532">
        <v>531</v>
      </c>
      <c r="B532" t="b">
        <f>ROUND(INDEX(FinancialData[Units Sold],1)*INDEX(FinancialData[Sale Price],1),2)=ROUND(INDEX(FinancialData[Gross Sales],1),2)</f>
        <v>1</v>
      </c>
      <c r="C532" s="12" t="b" cm="1">
        <f t="array" ref="C532">ROUND(INDEX(FinancialData[Gross Sales],A532)-INDEX(FinancialData[Discounts],A532),2)=ROUND(INDEX(FinancialData[ [ Sales] ],A532),2)</f>
        <v>1</v>
      </c>
      <c r="D532" t="b" cm="1">
        <f t="array" ref="D532">ROUND(INDEX(FinancialData[ [ Sales] ],A532)-INDEX(FinancialData[COGS],A532),2)=ROUND(INDEX(FinancialData[Profit],A532),2)</f>
        <v>1</v>
      </c>
    </row>
    <row r="533" spans="1:4" x14ac:dyDescent="0.3">
      <c r="A533">
        <v>532</v>
      </c>
      <c r="B533" t="b">
        <f>ROUND(INDEX(FinancialData[Units Sold],1)*INDEX(FinancialData[Sale Price],1),2)=ROUND(INDEX(FinancialData[Gross Sales],1),2)</f>
        <v>1</v>
      </c>
      <c r="C533" s="12" t="b" cm="1">
        <f t="array" ref="C533">ROUND(INDEX(FinancialData[Gross Sales],A533)-INDEX(FinancialData[Discounts],A533),2)=ROUND(INDEX(FinancialData[ [ Sales] ],A533),2)</f>
        <v>1</v>
      </c>
      <c r="D533" t="b" cm="1">
        <f t="array" ref="D533">ROUND(INDEX(FinancialData[ [ Sales] ],A533)-INDEX(FinancialData[COGS],A533),2)=ROUND(INDEX(FinancialData[Profit],A533),2)</f>
        <v>1</v>
      </c>
    </row>
    <row r="534" spans="1:4" x14ac:dyDescent="0.3">
      <c r="A534">
        <v>533</v>
      </c>
      <c r="B534" t="b">
        <f>ROUND(INDEX(FinancialData[Units Sold],1)*INDEX(FinancialData[Sale Price],1),2)=ROUND(INDEX(FinancialData[Gross Sales],1),2)</f>
        <v>1</v>
      </c>
      <c r="C534" s="12" t="b" cm="1">
        <f t="array" ref="C534">ROUND(INDEX(FinancialData[Gross Sales],A534)-INDEX(FinancialData[Discounts],A534),2)=ROUND(INDEX(FinancialData[ [ Sales] ],A534),2)</f>
        <v>1</v>
      </c>
      <c r="D534" t="b" cm="1">
        <f t="array" ref="D534">ROUND(INDEX(FinancialData[ [ Sales] ],A534)-INDEX(FinancialData[COGS],A534),2)=ROUND(INDEX(FinancialData[Profit],A534),2)</f>
        <v>1</v>
      </c>
    </row>
    <row r="535" spans="1:4" x14ac:dyDescent="0.3">
      <c r="A535">
        <v>534</v>
      </c>
      <c r="B535" t="b">
        <f>ROUND(INDEX(FinancialData[Units Sold],1)*INDEX(FinancialData[Sale Price],1),2)=ROUND(INDEX(FinancialData[Gross Sales],1),2)</f>
        <v>1</v>
      </c>
      <c r="C535" s="12" t="b" cm="1">
        <f t="array" ref="C535">ROUND(INDEX(FinancialData[Gross Sales],A535)-INDEX(FinancialData[Discounts],A535),2)=ROUND(INDEX(FinancialData[ [ Sales] ],A535),2)</f>
        <v>1</v>
      </c>
      <c r="D535" t="b" cm="1">
        <f t="array" ref="D535">ROUND(INDEX(FinancialData[ [ Sales] ],A535)-INDEX(FinancialData[COGS],A535),2)=ROUND(INDEX(FinancialData[Profit],A535),2)</f>
        <v>1</v>
      </c>
    </row>
    <row r="536" spans="1:4" x14ac:dyDescent="0.3">
      <c r="A536">
        <v>535</v>
      </c>
      <c r="B536" t="b">
        <f>ROUND(INDEX(FinancialData[Units Sold],1)*INDEX(FinancialData[Sale Price],1),2)=ROUND(INDEX(FinancialData[Gross Sales],1),2)</f>
        <v>1</v>
      </c>
      <c r="C536" s="12" t="b" cm="1">
        <f t="array" ref="C536">ROUND(INDEX(FinancialData[Gross Sales],A536)-INDEX(FinancialData[Discounts],A536),2)=ROUND(INDEX(FinancialData[ [ Sales] ],A536),2)</f>
        <v>1</v>
      </c>
      <c r="D536" t="b" cm="1">
        <f t="array" ref="D536">ROUND(INDEX(FinancialData[ [ Sales] ],A536)-INDEX(FinancialData[COGS],A536),2)=ROUND(INDEX(FinancialData[Profit],A536),2)</f>
        <v>1</v>
      </c>
    </row>
    <row r="537" spans="1:4" x14ac:dyDescent="0.3">
      <c r="A537">
        <v>536</v>
      </c>
      <c r="B537" t="b">
        <f>ROUND(INDEX(FinancialData[Units Sold],1)*INDEX(FinancialData[Sale Price],1),2)=ROUND(INDEX(FinancialData[Gross Sales],1),2)</f>
        <v>1</v>
      </c>
      <c r="C537" s="12" t="b" cm="1">
        <f t="array" ref="C537">ROUND(INDEX(FinancialData[Gross Sales],A537)-INDEX(FinancialData[Discounts],A537),2)=ROUND(INDEX(FinancialData[ [ Sales] ],A537),2)</f>
        <v>1</v>
      </c>
      <c r="D537" t="b" cm="1">
        <f t="array" ref="D537">ROUND(INDEX(FinancialData[ [ Sales] ],A537)-INDEX(FinancialData[COGS],A537),2)=ROUND(INDEX(FinancialData[Profit],A537),2)</f>
        <v>1</v>
      </c>
    </row>
    <row r="538" spans="1:4" x14ac:dyDescent="0.3">
      <c r="A538">
        <v>537</v>
      </c>
      <c r="B538" t="b">
        <f>ROUND(INDEX(FinancialData[Units Sold],1)*INDEX(FinancialData[Sale Price],1),2)=ROUND(INDEX(FinancialData[Gross Sales],1),2)</f>
        <v>1</v>
      </c>
      <c r="C538" s="12" t="b" cm="1">
        <f t="array" ref="C538">ROUND(INDEX(FinancialData[Gross Sales],A538)-INDEX(FinancialData[Discounts],A538),2)=ROUND(INDEX(FinancialData[ [ Sales] ],A538),2)</f>
        <v>1</v>
      </c>
      <c r="D538" t="b" cm="1">
        <f t="array" ref="D538">ROUND(INDEX(FinancialData[ [ Sales] ],A538)-INDEX(FinancialData[COGS],A538),2)=ROUND(INDEX(FinancialData[Profit],A538),2)</f>
        <v>1</v>
      </c>
    </row>
    <row r="539" spans="1:4" x14ac:dyDescent="0.3">
      <c r="A539">
        <v>538</v>
      </c>
      <c r="B539" t="b">
        <f>ROUND(INDEX(FinancialData[Units Sold],1)*INDEX(FinancialData[Sale Price],1),2)=ROUND(INDEX(FinancialData[Gross Sales],1),2)</f>
        <v>1</v>
      </c>
      <c r="C539" s="12" t="b" cm="1">
        <f t="array" ref="C539">ROUND(INDEX(FinancialData[Gross Sales],A539)-INDEX(FinancialData[Discounts],A539),2)=ROUND(INDEX(FinancialData[ [ Sales] ],A539),2)</f>
        <v>1</v>
      </c>
      <c r="D539" t="b" cm="1">
        <f t="array" ref="D539">ROUND(INDEX(FinancialData[ [ Sales] ],A539)-INDEX(FinancialData[COGS],A539),2)=ROUND(INDEX(FinancialData[Profit],A539),2)</f>
        <v>1</v>
      </c>
    </row>
    <row r="540" spans="1:4" x14ac:dyDescent="0.3">
      <c r="A540">
        <v>539</v>
      </c>
      <c r="B540" t="b">
        <f>ROUND(INDEX(FinancialData[Units Sold],1)*INDEX(FinancialData[Sale Price],1),2)=ROUND(INDEX(FinancialData[Gross Sales],1),2)</f>
        <v>1</v>
      </c>
      <c r="C540" s="12" t="b" cm="1">
        <f t="array" ref="C540">ROUND(INDEX(FinancialData[Gross Sales],A540)-INDEX(FinancialData[Discounts],A540),2)=ROUND(INDEX(FinancialData[ [ Sales] ],A540),2)</f>
        <v>1</v>
      </c>
      <c r="D540" t="b" cm="1">
        <f t="array" ref="D540">ROUND(INDEX(FinancialData[ [ Sales] ],A540)-INDEX(FinancialData[COGS],A540),2)=ROUND(INDEX(FinancialData[Profit],A540),2)</f>
        <v>1</v>
      </c>
    </row>
    <row r="541" spans="1:4" x14ac:dyDescent="0.3">
      <c r="A541">
        <v>540</v>
      </c>
      <c r="B541" t="b">
        <f>ROUND(INDEX(FinancialData[Units Sold],1)*INDEX(FinancialData[Sale Price],1),2)=ROUND(INDEX(FinancialData[Gross Sales],1),2)</f>
        <v>1</v>
      </c>
      <c r="C541" s="12" t="b" cm="1">
        <f t="array" ref="C541">ROUND(INDEX(FinancialData[Gross Sales],A541)-INDEX(FinancialData[Discounts],A541),2)=ROUND(INDEX(FinancialData[ [ Sales] ],A541),2)</f>
        <v>1</v>
      </c>
      <c r="D541" t="b" cm="1">
        <f t="array" ref="D541">ROUND(INDEX(FinancialData[ [ Sales] ],A541)-INDEX(FinancialData[COGS],A541),2)=ROUND(INDEX(FinancialData[Profit],A541),2)</f>
        <v>1</v>
      </c>
    </row>
    <row r="542" spans="1:4" x14ac:dyDescent="0.3">
      <c r="A542">
        <v>541</v>
      </c>
      <c r="B542" t="b">
        <f>ROUND(INDEX(FinancialData[Units Sold],1)*INDEX(FinancialData[Sale Price],1),2)=ROUND(INDEX(FinancialData[Gross Sales],1),2)</f>
        <v>1</v>
      </c>
      <c r="C542" s="12" t="b" cm="1">
        <f t="array" ref="C542">ROUND(INDEX(FinancialData[Gross Sales],A542)-INDEX(FinancialData[Discounts],A542),2)=ROUND(INDEX(FinancialData[ [ Sales] ],A542),2)</f>
        <v>1</v>
      </c>
      <c r="D542" t="b" cm="1">
        <f t="array" ref="D542">ROUND(INDEX(FinancialData[ [ Sales] ],A542)-INDEX(FinancialData[COGS],A542),2)=ROUND(INDEX(FinancialData[Profit],A542),2)</f>
        <v>1</v>
      </c>
    </row>
    <row r="543" spans="1:4" x14ac:dyDescent="0.3">
      <c r="A543">
        <v>542</v>
      </c>
      <c r="B543" t="b">
        <f>ROUND(INDEX(FinancialData[Units Sold],1)*INDEX(FinancialData[Sale Price],1),2)=ROUND(INDEX(FinancialData[Gross Sales],1),2)</f>
        <v>1</v>
      </c>
      <c r="C543" s="12" t="b" cm="1">
        <f t="array" ref="C543">ROUND(INDEX(FinancialData[Gross Sales],A543)-INDEX(FinancialData[Discounts],A543),2)=ROUND(INDEX(FinancialData[ [ Sales] ],A543),2)</f>
        <v>1</v>
      </c>
      <c r="D543" t="b" cm="1">
        <f t="array" ref="D543">ROUND(INDEX(FinancialData[ [ Sales] ],A543)-INDEX(FinancialData[COGS],A543),2)=ROUND(INDEX(FinancialData[Profit],A543),2)</f>
        <v>1</v>
      </c>
    </row>
    <row r="544" spans="1:4" x14ac:dyDescent="0.3">
      <c r="A544">
        <v>543</v>
      </c>
      <c r="B544" t="b">
        <f>ROUND(INDEX(FinancialData[Units Sold],1)*INDEX(FinancialData[Sale Price],1),2)=ROUND(INDEX(FinancialData[Gross Sales],1),2)</f>
        <v>1</v>
      </c>
      <c r="C544" s="12" t="b" cm="1">
        <f t="array" ref="C544">ROUND(INDEX(FinancialData[Gross Sales],A544)-INDEX(FinancialData[Discounts],A544),2)=ROUND(INDEX(FinancialData[ [ Sales] ],A544),2)</f>
        <v>1</v>
      </c>
      <c r="D544" t="b" cm="1">
        <f t="array" ref="D544">ROUND(INDEX(FinancialData[ [ Sales] ],A544)-INDEX(FinancialData[COGS],A544),2)=ROUND(INDEX(FinancialData[Profit],A544),2)</f>
        <v>1</v>
      </c>
    </row>
    <row r="545" spans="1:4" x14ac:dyDescent="0.3">
      <c r="A545">
        <v>544</v>
      </c>
      <c r="B545" t="b">
        <f>ROUND(INDEX(FinancialData[Units Sold],1)*INDEX(FinancialData[Sale Price],1),2)=ROUND(INDEX(FinancialData[Gross Sales],1),2)</f>
        <v>1</v>
      </c>
      <c r="C545" s="12" t="b" cm="1">
        <f t="array" ref="C545">ROUND(INDEX(FinancialData[Gross Sales],A545)-INDEX(FinancialData[Discounts],A545),2)=ROUND(INDEX(FinancialData[ [ Sales] ],A545),2)</f>
        <v>1</v>
      </c>
      <c r="D545" t="b" cm="1">
        <f t="array" ref="D545">ROUND(INDEX(FinancialData[ [ Sales] ],A545)-INDEX(FinancialData[COGS],A545),2)=ROUND(INDEX(FinancialData[Profit],A545),2)</f>
        <v>1</v>
      </c>
    </row>
    <row r="546" spans="1:4" x14ac:dyDescent="0.3">
      <c r="A546">
        <v>545</v>
      </c>
      <c r="B546" t="b">
        <f>ROUND(INDEX(FinancialData[Units Sold],1)*INDEX(FinancialData[Sale Price],1),2)=ROUND(INDEX(FinancialData[Gross Sales],1),2)</f>
        <v>1</v>
      </c>
      <c r="C546" s="12" t="b" cm="1">
        <f t="array" ref="C546">ROUND(INDEX(FinancialData[Gross Sales],A546)-INDEX(FinancialData[Discounts],A546),2)=ROUND(INDEX(FinancialData[ [ Sales] ],A546),2)</f>
        <v>1</v>
      </c>
      <c r="D546" t="b" cm="1">
        <f t="array" ref="D546">ROUND(INDEX(FinancialData[ [ Sales] ],A546)-INDEX(FinancialData[COGS],A546),2)=ROUND(INDEX(FinancialData[Profit],A546),2)</f>
        <v>1</v>
      </c>
    </row>
    <row r="547" spans="1:4" x14ac:dyDescent="0.3">
      <c r="A547">
        <v>546</v>
      </c>
      <c r="B547" t="b">
        <f>ROUND(INDEX(FinancialData[Units Sold],1)*INDEX(FinancialData[Sale Price],1),2)=ROUND(INDEX(FinancialData[Gross Sales],1),2)</f>
        <v>1</v>
      </c>
      <c r="C547" s="12" t="b" cm="1">
        <f t="array" ref="C547">ROUND(INDEX(FinancialData[Gross Sales],A547)-INDEX(FinancialData[Discounts],A547),2)=ROUND(INDEX(FinancialData[ [ Sales] ],A547),2)</f>
        <v>1</v>
      </c>
      <c r="D547" t="b" cm="1">
        <f t="array" ref="D547">ROUND(INDEX(FinancialData[ [ Sales] ],A547)-INDEX(FinancialData[COGS],A547),2)=ROUND(INDEX(FinancialData[Profit],A547),2)</f>
        <v>1</v>
      </c>
    </row>
    <row r="548" spans="1:4" x14ac:dyDescent="0.3">
      <c r="A548">
        <v>547</v>
      </c>
      <c r="B548" t="b">
        <f>ROUND(INDEX(FinancialData[Units Sold],1)*INDEX(FinancialData[Sale Price],1),2)=ROUND(INDEX(FinancialData[Gross Sales],1),2)</f>
        <v>1</v>
      </c>
      <c r="C548" s="12" t="b" cm="1">
        <f t="array" ref="C548">ROUND(INDEX(FinancialData[Gross Sales],A548)-INDEX(FinancialData[Discounts],A548),2)=ROUND(INDEX(FinancialData[ [ Sales] ],A548),2)</f>
        <v>1</v>
      </c>
      <c r="D548" t="b" cm="1">
        <f t="array" ref="D548">ROUND(INDEX(FinancialData[ [ Sales] ],A548)-INDEX(FinancialData[COGS],A548),2)=ROUND(INDEX(FinancialData[Profit],A548),2)</f>
        <v>1</v>
      </c>
    </row>
    <row r="549" spans="1:4" x14ac:dyDescent="0.3">
      <c r="A549">
        <v>548</v>
      </c>
      <c r="B549" t="b">
        <f>ROUND(INDEX(FinancialData[Units Sold],1)*INDEX(FinancialData[Sale Price],1),2)=ROUND(INDEX(FinancialData[Gross Sales],1),2)</f>
        <v>1</v>
      </c>
      <c r="C549" s="12" t="b" cm="1">
        <f t="array" ref="C549">ROUND(INDEX(FinancialData[Gross Sales],A549)-INDEX(FinancialData[Discounts],A549),2)=ROUND(INDEX(FinancialData[ [ Sales] ],A549),2)</f>
        <v>1</v>
      </c>
      <c r="D549" t="b" cm="1">
        <f t="array" ref="D549">ROUND(INDEX(FinancialData[ [ Sales] ],A549)-INDEX(FinancialData[COGS],A549),2)=ROUND(INDEX(FinancialData[Profit],A549),2)</f>
        <v>1</v>
      </c>
    </row>
    <row r="550" spans="1:4" x14ac:dyDescent="0.3">
      <c r="A550">
        <v>549</v>
      </c>
      <c r="B550" t="b">
        <f>ROUND(INDEX(FinancialData[Units Sold],1)*INDEX(FinancialData[Sale Price],1),2)=ROUND(INDEX(FinancialData[Gross Sales],1),2)</f>
        <v>1</v>
      </c>
      <c r="C550" s="12" t="b" cm="1">
        <f t="array" ref="C550">ROUND(INDEX(FinancialData[Gross Sales],A550)-INDEX(FinancialData[Discounts],A550),2)=ROUND(INDEX(FinancialData[ [ Sales] ],A550),2)</f>
        <v>1</v>
      </c>
      <c r="D550" t="b" cm="1">
        <f t="array" ref="D550">ROUND(INDEX(FinancialData[ [ Sales] ],A550)-INDEX(FinancialData[COGS],A550),2)=ROUND(INDEX(FinancialData[Profit],A550),2)</f>
        <v>1</v>
      </c>
    </row>
    <row r="551" spans="1:4" x14ac:dyDescent="0.3">
      <c r="A551">
        <v>550</v>
      </c>
      <c r="B551" t="b">
        <f>ROUND(INDEX(FinancialData[Units Sold],1)*INDEX(FinancialData[Sale Price],1),2)=ROUND(INDEX(FinancialData[Gross Sales],1),2)</f>
        <v>1</v>
      </c>
      <c r="C551" s="12" t="b" cm="1">
        <f t="array" ref="C551">ROUND(INDEX(FinancialData[Gross Sales],A551)-INDEX(FinancialData[Discounts],A551),2)=ROUND(INDEX(FinancialData[ [ Sales] ],A551),2)</f>
        <v>1</v>
      </c>
      <c r="D551" t="b" cm="1">
        <f t="array" ref="D551">ROUND(INDEX(FinancialData[ [ Sales] ],A551)-INDEX(FinancialData[COGS],A551),2)=ROUND(INDEX(FinancialData[Profit],A551),2)</f>
        <v>1</v>
      </c>
    </row>
    <row r="552" spans="1:4" x14ac:dyDescent="0.3">
      <c r="A552">
        <v>551</v>
      </c>
      <c r="B552" t="b">
        <f>ROUND(INDEX(FinancialData[Units Sold],1)*INDEX(FinancialData[Sale Price],1),2)=ROUND(INDEX(FinancialData[Gross Sales],1),2)</f>
        <v>1</v>
      </c>
      <c r="C552" s="12" t="b" cm="1">
        <f t="array" ref="C552">ROUND(INDEX(FinancialData[Gross Sales],A552)-INDEX(FinancialData[Discounts],A552),2)=ROUND(INDEX(FinancialData[ [ Sales] ],A552),2)</f>
        <v>1</v>
      </c>
      <c r="D552" t="b" cm="1">
        <f t="array" ref="D552">ROUND(INDEX(FinancialData[ [ Sales] ],A552)-INDEX(FinancialData[COGS],A552),2)=ROUND(INDEX(FinancialData[Profit],A552),2)</f>
        <v>1</v>
      </c>
    </row>
    <row r="553" spans="1:4" x14ac:dyDescent="0.3">
      <c r="A553">
        <v>552</v>
      </c>
      <c r="B553" t="b">
        <f>ROUND(INDEX(FinancialData[Units Sold],1)*INDEX(FinancialData[Sale Price],1),2)=ROUND(INDEX(FinancialData[Gross Sales],1),2)</f>
        <v>1</v>
      </c>
      <c r="C553" s="12" t="b" cm="1">
        <f t="array" ref="C553">ROUND(INDEX(FinancialData[Gross Sales],A553)-INDEX(FinancialData[Discounts],A553),2)=ROUND(INDEX(FinancialData[ [ Sales] ],A553),2)</f>
        <v>1</v>
      </c>
      <c r="D553" t="b" cm="1">
        <f t="array" ref="D553">ROUND(INDEX(FinancialData[ [ Sales] ],A553)-INDEX(FinancialData[COGS],A553),2)=ROUND(INDEX(FinancialData[Profit],A553),2)</f>
        <v>1</v>
      </c>
    </row>
    <row r="554" spans="1:4" x14ac:dyDescent="0.3">
      <c r="A554">
        <v>553</v>
      </c>
      <c r="B554" t="b">
        <f>ROUND(INDEX(FinancialData[Units Sold],1)*INDEX(FinancialData[Sale Price],1),2)=ROUND(INDEX(FinancialData[Gross Sales],1),2)</f>
        <v>1</v>
      </c>
      <c r="C554" s="12" t="b" cm="1">
        <f t="array" ref="C554">ROUND(INDEX(FinancialData[Gross Sales],A554)-INDEX(FinancialData[Discounts],A554),2)=ROUND(INDEX(FinancialData[ [ Sales] ],A554),2)</f>
        <v>1</v>
      </c>
      <c r="D554" t="b" cm="1">
        <f t="array" ref="D554">ROUND(INDEX(FinancialData[ [ Sales] ],A554)-INDEX(FinancialData[COGS],A554),2)=ROUND(INDEX(FinancialData[Profit],A554),2)</f>
        <v>1</v>
      </c>
    </row>
    <row r="555" spans="1:4" x14ac:dyDescent="0.3">
      <c r="A555">
        <v>554</v>
      </c>
      <c r="B555" t="b">
        <f>ROUND(INDEX(FinancialData[Units Sold],1)*INDEX(FinancialData[Sale Price],1),2)=ROUND(INDEX(FinancialData[Gross Sales],1),2)</f>
        <v>1</v>
      </c>
      <c r="C555" s="12" t="b" cm="1">
        <f t="array" ref="C555">ROUND(INDEX(FinancialData[Gross Sales],A555)-INDEX(FinancialData[Discounts],A555),2)=ROUND(INDEX(FinancialData[ [ Sales] ],A555),2)</f>
        <v>1</v>
      </c>
      <c r="D555" t="b" cm="1">
        <f t="array" ref="D555">ROUND(INDEX(FinancialData[ [ Sales] ],A555)-INDEX(FinancialData[COGS],A555),2)=ROUND(INDEX(FinancialData[Profit],A555),2)</f>
        <v>1</v>
      </c>
    </row>
    <row r="556" spans="1:4" x14ac:dyDescent="0.3">
      <c r="A556">
        <v>555</v>
      </c>
      <c r="B556" t="b">
        <f>ROUND(INDEX(FinancialData[Units Sold],1)*INDEX(FinancialData[Sale Price],1),2)=ROUND(INDEX(FinancialData[Gross Sales],1),2)</f>
        <v>1</v>
      </c>
      <c r="C556" s="12" t="b" cm="1">
        <f t="array" ref="C556">ROUND(INDEX(FinancialData[Gross Sales],A556)-INDEX(FinancialData[Discounts],A556),2)=ROUND(INDEX(FinancialData[ [ Sales] ],A556),2)</f>
        <v>1</v>
      </c>
      <c r="D556" t="b" cm="1">
        <f t="array" ref="D556">ROUND(INDEX(FinancialData[ [ Sales] ],A556)-INDEX(FinancialData[COGS],A556),2)=ROUND(INDEX(FinancialData[Profit],A556),2)</f>
        <v>1</v>
      </c>
    </row>
    <row r="557" spans="1:4" x14ac:dyDescent="0.3">
      <c r="A557">
        <v>556</v>
      </c>
      <c r="B557" t="b">
        <f>ROUND(INDEX(FinancialData[Units Sold],1)*INDEX(FinancialData[Sale Price],1),2)=ROUND(INDEX(FinancialData[Gross Sales],1),2)</f>
        <v>1</v>
      </c>
      <c r="C557" s="12" t="b" cm="1">
        <f t="array" ref="C557">ROUND(INDEX(FinancialData[Gross Sales],A557)-INDEX(FinancialData[Discounts],A557),2)=ROUND(INDEX(FinancialData[ [ Sales] ],A557),2)</f>
        <v>1</v>
      </c>
      <c r="D557" t="b" cm="1">
        <f t="array" ref="D557">ROUND(INDEX(FinancialData[ [ Sales] ],A557)-INDEX(FinancialData[COGS],A557),2)=ROUND(INDEX(FinancialData[Profit],A557),2)</f>
        <v>1</v>
      </c>
    </row>
    <row r="558" spans="1:4" x14ac:dyDescent="0.3">
      <c r="A558">
        <v>557</v>
      </c>
      <c r="B558" t="b">
        <f>ROUND(INDEX(FinancialData[Units Sold],1)*INDEX(FinancialData[Sale Price],1),2)=ROUND(INDEX(FinancialData[Gross Sales],1),2)</f>
        <v>1</v>
      </c>
      <c r="C558" s="12" t="b" cm="1">
        <f t="array" ref="C558">ROUND(INDEX(FinancialData[Gross Sales],A558)-INDEX(FinancialData[Discounts],A558),2)=ROUND(INDEX(FinancialData[ [ Sales] ],A558),2)</f>
        <v>1</v>
      </c>
      <c r="D558" t="b" cm="1">
        <f t="array" ref="D558">ROUND(INDEX(FinancialData[ [ Sales] ],A558)-INDEX(FinancialData[COGS],A558),2)=ROUND(INDEX(FinancialData[Profit],A558),2)</f>
        <v>1</v>
      </c>
    </row>
    <row r="559" spans="1:4" x14ac:dyDescent="0.3">
      <c r="A559">
        <v>558</v>
      </c>
      <c r="B559" t="b">
        <f>ROUND(INDEX(FinancialData[Units Sold],1)*INDEX(FinancialData[Sale Price],1),2)=ROUND(INDEX(FinancialData[Gross Sales],1),2)</f>
        <v>1</v>
      </c>
      <c r="C559" s="12" t="b" cm="1">
        <f t="array" ref="C559">ROUND(INDEX(FinancialData[Gross Sales],A559)-INDEX(FinancialData[Discounts],A559),2)=ROUND(INDEX(FinancialData[ [ Sales] ],A559),2)</f>
        <v>1</v>
      </c>
      <c r="D559" t="b" cm="1">
        <f t="array" ref="D559">ROUND(INDEX(FinancialData[ [ Sales] ],A559)-INDEX(FinancialData[COGS],A559),2)=ROUND(INDEX(FinancialData[Profit],A559),2)</f>
        <v>1</v>
      </c>
    </row>
    <row r="560" spans="1:4" x14ac:dyDescent="0.3">
      <c r="A560">
        <v>559</v>
      </c>
      <c r="B560" t="b">
        <f>ROUND(INDEX(FinancialData[Units Sold],1)*INDEX(FinancialData[Sale Price],1),2)=ROUND(INDEX(FinancialData[Gross Sales],1),2)</f>
        <v>1</v>
      </c>
      <c r="C560" s="12" t="b" cm="1">
        <f t="array" ref="C560">ROUND(INDEX(FinancialData[Gross Sales],A560)-INDEX(FinancialData[Discounts],A560),2)=ROUND(INDEX(FinancialData[ [ Sales] ],A560),2)</f>
        <v>1</v>
      </c>
      <c r="D560" t="b" cm="1">
        <f t="array" ref="D560">ROUND(INDEX(FinancialData[ [ Sales] ],A560)-INDEX(FinancialData[COGS],A560),2)=ROUND(INDEX(FinancialData[Profit],A560),2)</f>
        <v>1</v>
      </c>
    </row>
    <row r="561" spans="1:4" x14ac:dyDescent="0.3">
      <c r="A561">
        <v>560</v>
      </c>
      <c r="B561" t="b">
        <f>ROUND(INDEX(FinancialData[Units Sold],1)*INDEX(FinancialData[Sale Price],1),2)=ROUND(INDEX(FinancialData[Gross Sales],1),2)</f>
        <v>1</v>
      </c>
      <c r="C561" s="12" t="b" cm="1">
        <f t="array" ref="C561">ROUND(INDEX(FinancialData[Gross Sales],A561)-INDEX(FinancialData[Discounts],A561),2)=ROUND(INDEX(FinancialData[ [ Sales] ],A561),2)</f>
        <v>1</v>
      </c>
      <c r="D561" t="b" cm="1">
        <f t="array" ref="D561">ROUND(INDEX(FinancialData[ [ Sales] ],A561)-INDEX(FinancialData[COGS],A561),2)=ROUND(INDEX(FinancialData[Profit],A561),2)</f>
        <v>1</v>
      </c>
    </row>
    <row r="562" spans="1:4" x14ac:dyDescent="0.3">
      <c r="A562">
        <v>561</v>
      </c>
      <c r="B562" t="b">
        <f>ROUND(INDEX(FinancialData[Units Sold],1)*INDEX(FinancialData[Sale Price],1),2)=ROUND(INDEX(FinancialData[Gross Sales],1),2)</f>
        <v>1</v>
      </c>
      <c r="C562" s="12" t="b" cm="1">
        <f t="array" ref="C562">ROUND(INDEX(FinancialData[Gross Sales],A562)-INDEX(FinancialData[Discounts],A562),2)=ROUND(INDEX(FinancialData[ [ Sales] ],A562),2)</f>
        <v>1</v>
      </c>
      <c r="D562" t="b" cm="1">
        <f t="array" ref="D562">ROUND(INDEX(FinancialData[ [ Sales] ],A562)-INDEX(FinancialData[COGS],A562),2)=ROUND(INDEX(FinancialData[Profit],A562),2)</f>
        <v>1</v>
      </c>
    </row>
    <row r="563" spans="1:4" x14ac:dyDescent="0.3">
      <c r="A563">
        <v>562</v>
      </c>
      <c r="B563" t="b">
        <f>ROUND(INDEX(FinancialData[Units Sold],1)*INDEX(FinancialData[Sale Price],1),2)=ROUND(INDEX(FinancialData[Gross Sales],1),2)</f>
        <v>1</v>
      </c>
      <c r="C563" s="12" t="b" cm="1">
        <f t="array" ref="C563">ROUND(INDEX(FinancialData[Gross Sales],A563)-INDEX(FinancialData[Discounts],A563),2)=ROUND(INDEX(FinancialData[ [ Sales] ],A563),2)</f>
        <v>1</v>
      </c>
      <c r="D563" t="b" cm="1">
        <f t="array" ref="D563">ROUND(INDEX(FinancialData[ [ Sales] ],A563)-INDEX(FinancialData[COGS],A563),2)=ROUND(INDEX(FinancialData[Profit],A563),2)</f>
        <v>1</v>
      </c>
    </row>
    <row r="564" spans="1:4" x14ac:dyDescent="0.3">
      <c r="A564">
        <v>563</v>
      </c>
      <c r="B564" t="b">
        <f>ROUND(INDEX(FinancialData[Units Sold],1)*INDEX(FinancialData[Sale Price],1),2)=ROUND(INDEX(FinancialData[Gross Sales],1),2)</f>
        <v>1</v>
      </c>
      <c r="C564" s="12" t="b" cm="1">
        <f t="array" ref="C564">ROUND(INDEX(FinancialData[Gross Sales],A564)-INDEX(FinancialData[Discounts],A564),2)=ROUND(INDEX(FinancialData[ [ Sales] ],A564),2)</f>
        <v>1</v>
      </c>
      <c r="D564" t="b" cm="1">
        <f t="array" ref="D564">ROUND(INDEX(FinancialData[ [ Sales] ],A564)-INDEX(FinancialData[COGS],A564),2)=ROUND(INDEX(FinancialData[Profit],A564),2)</f>
        <v>1</v>
      </c>
    </row>
    <row r="565" spans="1:4" x14ac:dyDescent="0.3">
      <c r="A565">
        <v>564</v>
      </c>
      <c r="B565" t="b">
        <f>ROUND(INDEX(FinancialData[Units Sold],1)*INDEX(FinancialData[Sale Price],1),2)=ROUND(INDEX(FinancialData[Gross Sales],1),2)</f>
        <v>1</v>
      </c>
      <c r="C565" s="12" t="b" cm="1">
        <f t="array" ref="C565">ROUND(INDEX(FinancialData[Gross Sales],A565)-INDEX(FinancialData[Discounts],A565),2)=ROUND(INDEX(FinancialData[ [ Sales] ],A565),2)</f>
        <v>1</v>
      </c>
      <c r="D565" t="b" cm="1">
        <f t="array" ref="D565">ROUND(INDEX(FinancialData[ [ Sales] ],A565)-INDEX(FinancialData[COGS],A565),2)=ROUND(INDEX(FinancialData[Profit],A565),2)</f>
        <v>1</v>
      </c>
    </row>
    <row r="566" spans="1:4" x14ac:dyDescent="0.3">
      <c r="A566">
        <v>565</v>
      </c>
      <c r="B566" t="b">
        <f>ROUND(INDEX(FinancialData[Units Sold],1)*INDEX(FinancialData[Sale Price],1),2)=ROUND(INDEX(FinancialData[Gross Sales],1),2)</f>
        <v>1</v>
      </c>
      <c r="C566" s="12" t="b" cm="1">
        <f t="array" ref="C566">ROUND(INDEX(FinancialData[Gross Sales],A566)-INDEX(FinancialData[Discounts],A566),2)=ROUND(INDEX(FinancialData[ [ Sales] ],A566),2)</f>
        <v>1</v>
      </c>
      <c r="D566" t="b" cm="1">
        <f t="array" ref="D566">ROUND(INDEX(FinancialData[ [ Sales] ],A566)-INDEX(FinancialData[COGS],A566),2)=ROUND(INDEX(FinancialData[Profit],A566),2)</f>
        <v>1</v>
      </c>
    </row>
    <row r="567" spans="1:4" x14ac:dyDescent="0.3">
      <c r="A567">
        <v>566</v>
      </c>
      <c r="B567" t="b">
        <f>ROUND(INDEX(FinancialData[Units Sold],1)*INDEX(FinancialData[Sale Price],1),2)=ROUND(INDEX(FinancialData[Gross Sales],1),2)</f>
        <v>1</v>
      </c>
      <c r="C567" s="12" t="b" cm="1">
        <f t="array" ref="C567">ROUND(INDEX(FinancialData[Gross Sales],A567)-INDEX(FinancialData[Discounts],A567),2)=ROUND(INDEX(FinancialData[ [ Sales] ],A567),2)</f>
        <v>1</v>
      </c>
      <c r="D567" t="b" cm="1">
        <f t="array" ref="D567">ROUND(INDEX(FinancialData[ [ Sales] ],A567)-INDEX(FinancialData[COGS],A567),2)=ROUND(INDEX(FinancialData[Profit],A567),2)</f>
        <v>1</v>
      </c>
    </row>
    <row r="568" spans="1:4" x14ac:dyDescent="0.3">
      <c r="A568">
        <v>567</v>
      </c>
      <c r="B568" t="b">
        <f>ROUND(INDEX(FinancialData[Units Sold],1)*INDEX(FinancialData[Sale Price],1),2)=ROUND(INDEX(FinancialData[Gross Sales],1),2)</f>
        <v>1</v>
      </c>
      <c r="C568" s="12" t="b" cm="1">
        <f t="array" ref="C568">ROUND(INDEX(FinancialData[Gross Sales],A568)-INDEX(FinancialData[Discounts],A568),2)=ROUND(INDEX(FinancialData[ [ Sales] ],A568),2)</f>
        <v>1</v>
      </c>
      <c r="D568" t="b" cm="1">
        <f t="array" ref="D568">ROUND(INDEX(FinancialData[ [ Sales] ],A568)-INDEX(FinancialData[COGS],A568),2)=ROUND(INDEX(FinancialData[Profit],A568),2)</f>
        <v>1</v>
      </c>
    </row>
    <row r="569" spans="1:4" x14ac:dyDescent="0.3">
      <c r="A569">
        <v>568</v>
      </c>
      <c r="B569" t="b">
        <f>ROUND(INDEX(FinancialData[Units Sold],1)*INDEX(FinancialData[Sale Price],1),2)=ROUND(INDEX(FinancialData[Gross Sales],1),2)</f>
        <v>1</v>
      </c>
      <c r="C569" s="12" t="b" cm="1">
        <f t="array" ref="C569">ROUND(INDEX(FinancialData[Gross Sales],A569)-INDEX(FinancialData[Discounts],A569),2)=ROUND(INDEX(FinancialData[ [ Sales] ],A569),2)</f>
        <v>1</v>
      </c>
      <c r="D569" t="b" cm="1">
        <f t="array" ref="D569">ROUND(INDEX(FinancialData[ [ Sales] ],A569)-INDEX(FinancialData[COGS],A569),2)=ROUND(INDEX(FinancialData[Profit],A569),2)</f>
        <v>1</v>
      </c>
    </row>
    <row r="570" spans="1:4" x14ac:dyDescent="0.3">
      <c r="A570">
        <v>569</v>
      </c>
      <c r="B570" t="b">
        <f>ROUND(INDEX(FinancialData[Units Sold],1)*INDEX(FinancialData[Sale Price],1),2)=ROUND(INDEX(FinancialData[Gross Sales],1),2)</f>
        <v>1</v>
      </c>
      <c r="C570" s="12" t="b" cm="1">
        <f t="array" ref="C570">ROUND(INDEX(FinancialData[Gross Sales],A570)-INDEX(FinancialData[Discounts],A570),2)=ROUND(INDEX(FinancialData[ [ Sales] ],A570),2)</f>
        <v>1</v>
      </c>
      <c r="D570" t="b" cm="1">
        <f t="array" ref="D570">ROUND(INDEX(FinancialData[ [ Sales] ],A570)-INDEX(FinancialData[COGS],A570),2)=ROUND(INDEX(FinancialData[Profit],A570),2)</f>
        <v>1</v>
      </c>
    </row>
    <row r="571" spans="1:4" x14ac:dyDescent="0.3">
      <c r="A571">
        <v>570</v>
      </c>
      <c r="B571" t="b">
        <f>ROUND(INDEX(FinancialData[Units Sold],1)*INDEX(FinancialData[Sale Price],1),2)=ROUND(INDEX(FinancialData[Gross Sales],1),2)</f>
        <v>1</v>
      </c>
      <c r="C571" s="12" t="b" cm="1">
        <f t="array" ref="C571">ROUND(INDEX(FinancialData[Gross Sales],A571)-INDEX(FinancialData[Discounts],A571),2)=ROUND(INDEX(FinancialData[ [ Sales] ],A571),2)</f>
        <v>1</v>
      </c>
      <c r="D571" t="b" cm="1">
        <f t="array" ref="D571">ROUND(INDEX(FinancialData[ [ Sales] ],A571)-INDEX(FinancialData[COGS],A571),2)=ROUND(INDEX(FinancialData[Profit],A571),2)</f>
        <v>1</v>
      </c>
    </row>
    <row r="572" spans="1:4" x14ac:dyDescent="0.3">
      <c r="A572">
        <v>571</v>
      </c>
      <c r="B572" t="b">
        <f>ROUND(INDEX(FinancialData[Units Sold],1)*INDEX(FinancialData[Sale Price],1),2)=ROUND(INDEX(FinancialData[Gross Sales],1),2)</f>
        <v>1</v>
      </c>
      <c r="C572" s="12" t="b" cm="1">
        <f t="array" ref="C572">ROUND(INDEX(FinancialData[Gross Sales],A572)-INDEX(FinancialData[Discounts],A572),2)=ROUND(INDEX(FinancialData[ [ Sales] ],A572),2)</f>
        <v>1</v>
      </c>
      <c r="D572" t="b" cm="1">
        <f t="array" ref="D572">ROUND(INDEX(FinancialData[ [ Sales] ],A572)-INDEX(FinancialData[COGS],A572),2)=ROUND(INDEX(FinancialData[Profit],A572),2)</f>
        <v>1</v>
      </c>
    </row>
    <row r="573" spans="1:4" x14ac:dyDescent="0.3">
      <c r="A573">
        <v>572</v>
      </c>
      <c r="B573" t="b">
        <f>ROUND(INDEX(FinancialData[Units Sold],1)*INDEX(FinancialData[Sale Price],1),2)=ROUND(INDEX(FinancialData[Gross Sales],1),2)</f>
        <v>1</v>
      </c>
      <c r="C573" s="12" t="b" cm="1">
        <f t="array" ref="C573">ROUND(INDEX(FinancialData[Gross Sales],A573)-INDEX(FinancialData[Discounts],A573),2)=ROUND(INDEX(FinancialData[ [ Sales] ],A573),2)</f>
        <v>1</v>
      </c>
      <c r="D573" t="b" cm="1">
        <f t="array" ref="D573">ROUND(INDEX(FinancialData[ [ Sales] ],A573)-INDEX(FinancialData[COGS],A573),2)=ROUND(INDEX(FinancialData[Profit],A573),2)</f>
        <v>1</v>
      </c>
    </row>
    <row r="574" spans="1:4" x14ac:dyDescent="0.3">
      <c r="A574">
        <v>573</v>
      </c>
      <c r="B574" t="b">
        <f>ROUND(INDEX(FinancialData[Units Sold],1)*INDEX(FinancialData[Sale Price],1),2)=ROUND(INDEX(FinancialData[Gross Sales],1),2)</f>
        <v>1</v>
      </c>
      <c r="C574" s="12" t="b" cm="1">
        <f t="array" ref="C574">ROUND(INDEX(FinancialData[Gross Sales],A574)-INDEX(FinancialData[Discounts],A574),2)=ROUND(INDEX(FinancialData[ [ Sales] ],A574),2)</f>
        <v>1</v>
      </c>
      <c r="D574" t="b" cm="1">
        <f t="array" ref="D574">ROUND(INDEX(FinancialData[ [ Sales] ],A574)-INDEX(FinancialData[COGS],A574),2)=ROUND(INDEX(FinancialData[Profit],A574),2)</f>
        <v>1</v>
      </c>
    </row>
    <row r="575" spans="1:4" x14ac:dyDescent="0.3">
      <c r="A575">
        <v>574</v>
      </c>
      <c r="B575" t="b">
        <f>ROUND(INDEX(FinancialData[Units Sold],1)*INDEX(FinancialData[Sale Price],1),2)=ROUND(INDEX(FinancialData[Gross Sales],1),2)</f>
        <v>1</v>
      </c>
      <c r="C575" s="12" t="b" cm="1">
        <f t="array" ref="C575">ROUND(INDEX(FinancialData[Gross Sales],A575)-INDEX(FinancialData[Discounts],A575),2)=ROUND(INDEX(FinancialData[ [ Sales] ],A575),2)</f>
        <v>1</v>
      </c>
      <c r="D575" t="b" cm="1">
        <f t="array" ref="D575">ROUND(INDEX(FinancialData[ [ Sales] ],A575)-INDEX(FinancialData[COGS],A575),2)=ROUND(INDEX(FinancialData[Profit],A575),2)</f>
        <v>1</v>
      </c>
    </row>
    <row r="576" spans="1:4" x14ac:dyDescent="0.3">
      <c r="A576">
        <v>575</v>
      </c>
      <c r="B576" t="b">
        <f>ROUND(INDEX(FinancialData[Units Sold],1)*INDEX(FinancialData[Sale Price],1),2)=ROUND(INDEX(FinancialData[Gross Sales],1),2)</f>
        <v>1</v>
      </c>
      <c r="C576" s="12" t="b" cm="1">
        <f t="array" ref="C576">ROUND(INDEX(FinancialData[Gross Sales],A576)-INDEX(FinancialData[Discounts],A576),2)=ROUND(INDEX(FinancialData[ [ Sales] ],A576),2)</f>
        <v>1</v>
      </c>
      <c r="D576" t="b" cm="1">
        <f t="array" ref="D576">ROUND(INDEX(FinancialData[ [ Sales] ],A576)-INDEX(FinancialData[COGS],A576),2)=ROUND(INDEX(FinancialData[Profit],A576),2)</f>
        <v>1</v>
      </c>
    </row>
    <row r="577" spans="1:4" x14ac:dyDescent="0.3">
      <c r="A577">
        <v>576</v>
      </c>
      <c r="B577" t="b">
        <f>ROUND(INDEX(FinancialData[Units Sold],1)*INDEX(FinancialData[Sale Price],1),2)=ROUND(INDEX(FinancialData[Gross Sales],1),2)</f>
        <v>1</v>
      </c>
      <c r="C577" s="12" t="b" cm="1">
        <f t="array" ref="C577">ROUND(INDEX(FinancialData[Gross Sales],A577)-INDEX(FinancialData[Discounts],A577),2)=ROUND(INDEX(FinancialData[ [ Sales] ],A577),2)</f>
        <v>1</v>
      </c>
      <c r="D577" t="b" cm="1">
        <f t="array" ref="D577">ROUND(INDEX(FinancialData[ [ Sales] ],A577)-INDEX(FinancialData[COGS],A577),2)=ROUND(INDEX(FinancialData[Profit],A577),2)</f>
        <v>1</v>
      </c>
    </row>
    <row r="578" spans="1:4" x14ac:dyDescent="0.3">
      <c r="A578">
        <v>577</v>
      </c>
      <c r="B578" t="b">
        <f>ROUND(INDEX(FinancialData[Units Sold],1)*INDEX(FinancialData[Sale Price],1),2)=ROUND(INDEX(FinancialData[Gross Sales],1),2)</f>
        <v>1</v>
      </c>
      <c r="C578" s="12" t="b" cm="1">
        <f t="array" ref="C578">ROUND(INDEX(FinancialData[Gross Sales],A578)-INDEX(FinancialData[Discounts],A578),2)=ROUND(INDEX(FinancialData[ [ Sales] ],A578),2)</f>
        <v>1</v>
      </c>
      <c r="D578" t="b" cm="1">
        <f t="array" ref="D578">ROUND(INDEX(FinancialData[ [ Sales] ],A578)-INDEX(FinancialData[COGS],A578),2)=ROUND(INDEX(FinancialData[Profit],A578),2)</f>
        <v>1</v>
      </c>
    </row>
    <row r="579" spans="1:4" x14ac:dyDescent="0.3">
      <c r="A579">
        <v>578</v>
      </c>
      <c r="B579" t="b">
        <f>ROUND(INDEX(FinancialData[Units Sold],1)*INDEX(FinancialData[Sale Price],1),2)=ROUND(INDEX(FinancialData[Gross Sales],1),2)</f>
        <v>1</v>
      </c>
      <c r="C579" s="12" t="b" cm="1">
        <f t="array" ref="C579">ROUND(INDEX(FinancialData[Gross Sales],A579)-INDEX(FinancialData[Discounts],A579),2)=ROUND(INDEX(FinancialData[ [ Sales] ],A579),2)</f>
        <v>1</v>
      </c>
      <c r="D579" t="b" cm="1">
        <f t="array" ref="D579">ROUND(INDEX(FinancialData[ [ Sales] ],A579)-INDEX(FinancialData[COGS],A579),2)=ROUND(INDEX(FinancialData[Profit],A579),2)</f>
        <v>1</v>
      </c>
    </row>
    <row r="580" spans="1:4" x14ac:dyDescent="0.3">
      <c r="A580">
        <v>579</v>
      </c>
      <c r="B580" t="b">
        <f>ROUND(INDEX(FinancialData[Units Sold],1)*INDEX(FinancialData[Sale Price],1),2)=ROUND(INDEX(FinancialData[Gross Sales],1),2)</f>
        <v>1</v>
      </c>
      <c r="C580" s="12" t="b" cm="1">
        <f t="array" ref="C580">ROUND(INDEX(FinancialData[Gross Sales],A580)-INDEX(FinancialData[Discounts],A580),2)=ROUND(INDEX(FinancialData[ [ Sales] ],A580),2)</f>
        <v>1</v>
      </c>
      <c r="D580" t="b" cm="1">
        <f t="array" ref="D580">ROUND(INDEX(FinancialData[ [ Sales] ],A580)-INDEX(FinancialData[COGS],A580),2)=ROUND(INDEX(FinancialData[Profit],A580),2)</f>
        <v>1</v>
      </c>
    </row>
    <row r="581" spans="1:4" x14ac:dyDescent="0.3">
      <c r="A581">
        <v>580</v>
      </c>
      <c r="B581" t="b">
        <f>ROUND(INDEX(FinancialData[Units Sold],1)*INDEX(FinancialData[Sale Price],1),2)=ROUND(INDEX(FinancialData[Gross Sales],1),2)</f>
        <v>1</v>
      </c>
      <c r="C581" s="12" t="b" cm="1">
        <f t="array" ref="C581">ROUND(INDEX(FinancialData[Gross Sales],A581)-INDEX(FinancialData[Discounts],A581),2)=ROUND(INDEX(FinancialData[ [ Sales] ],A581),2)</f>
        <v>1</v>
      </c>
      <c r="D581" t="b" cm="1">
        <f t="array" ref="D581">ROUND(INDEX(FinancialData[ [ Sales] ],A581)-INDEX(FinancialData[COGS],A581),2)=ROUND(INDEX(FinancialData[Profit],A581),2)</f>
        <v>1</v>
      </c>
    </row>
    <row r="582" spans="1:4" x14ac:dyDescent="0.3">
      <c r="A582">
        <v>581</v>
      </c>
      <c r="B582" t="b">
        <f>ROUND(INDEX(FinancialData[Units Sold],1)*INDEX(FinancialData[Sale Price],1),2)=ROUND(INDEX(FinancialData[Gross Sales],1),2)</f>
        <v>1</v>
      </c>
      <c r="C582" s="12" t="b" cm="1">
        <f t="array" ref="C582">ROUND(INDEX(FinancialData[Gross Sales],A582)-INDEX(FinancialData[Discounts],A582),2)=ROUND(INDEX(FinancialData[ [ Sales] ],A582),2)</f>
        <v>1</v>
      </c>
      <c r="D582" t="b" cm="1">
        <f t="array" ref="D582">ROUND(INDEX(FinancialData[ [ Sales] ],A582)-INDEX(FinancialData[COGS],A582),2)=ROUND(INDEX(FinancialData[Profit],A582),2)</f>
        <v>1</v>
      </c>
    </row>
    <row r="583" spans="1:4" x14ac:dyDescent="0.3">
      <c r="A583">
        <v>582</v>
      </c>
      <c r="B583" t="b">
        <f>ROUND(INDEX(FinancialData[Units Sold],1)*INDEX(FinancialData[Sale Price],1),2)=ROUND(INDEX(FinancialData[Gross Sales],1),2)</f>
        <v>1</v>
      </c>
      <c r="C583" s="12" t="b" cm="1">
        <f t="array" ref="C583">ROUND(INDEX(FinancialData[Gross Sales],A583)-INDEX(FinancialData[Discounts],A583),2)=ROUND(INDEX(FinancialData[ [ Sales] ],A583),2)</f>
        <v>1</v>
      </c>
      <c r="D583" t="b" cm="1">
        <f t="array" ref="D583">ROUND(INDEX(FinancialData[ [ Sales] ],A583)-INDEX(FinancialData[COGS],A583),2)=ROUND(INDEX(FinancialData[Profit],A583),2)</f>
        <v>1</v>
      </c>
    </row>
    <row r="584" spans="1:4" x14ac:dyDescent="0.3">
      <c r="A584">
        <v>583</v>
      </c>
      <c r="B584" t="b">
        <f>ROUND(INDEX(FinancialData[Units Sold],1)*INDEX(FinancialData[Sale Price],1),2)=ROUND(INDEX(FinancialData[Gross Sales],1),2)</f>
        <v>1</v>
      </c>
      <c r="C584" s="12" t="b" cm="1">
        <f t="array" ref="C584">ROUND(INDEX(FinancialData[Gross Sales],A584)-INDEX(FinancialData[Discounts],A584),2)=ROUND(INDEX(FinancialData[ [ Sales] ],A584),2)</f>
        <v>1</v>
      </c>
      <c r="D584" t="b" cm="1">
        <f t="array" ref="D584">ROUND(INDEX(FinancialData[ [ Sales] ],A584)-INDEX(FinancialData[COGS],A584),2)=ROUND(INDEX(FinancialData[Profit],A584),2)</f>
        <v>1</v>
      </c>
    </row>
    <row r="585" spans="1:4" x14ac:dyDescent="0.3">
      <c r="A585">
        <v>584</v>
      </c>
      <c r="B585" t="b">
        <f>ROUND(INDEX(FinancialData[Units Sold],1)*INDEX(FinancialData[Sale Price],1),2)=ROUND(INDEX(FinancialData[Gross Sales],1),2)</f>
        <v>1</v>
      </c>
      <c r="C585" s="12" t="b" cm="1">
        <f t="array" ref="C585">ROUND(INDEX(FinancialData[Gross Sales],A585)-INDEX(FinancialData[Discounts],A585),2)=ROUND(INDEX(FinancialData[ [ Sales] ],A585),2)</f>
        <v>1</v>
      </c>
      <c r="D585" t="b" cm="1">
        <f t="array" ref="D585">ROUND(INDEX(FinancialData[ [ Sales] ],A585)-INDEX(FinancialData[COGS],A585),2)=ROUND(INDEX(FinancialData[Profit],A585),2)</f>
        <v>1</v>
      </c>
    </row>
    <row r="586" spans="1:4" x14ac:dyDescent="0.3">
      <c r="A586">
        <v>585</v>
      </c>
      <c r="B586" t="b">
        <f>ROUND(INDEX(FinancialData[Units Sold],1)*INDEX(FinancialData[Sale Price],1),2)=ROUND(INDEX(FinancialData[Gross Sales],1),2)</f>
        <v>1</v>
      </c>
      <c r="C586" s="12" t="b" cm="1">
        <f t="array" ref="C586">ROUND(INDEX(FinancialData[Gross Sales],A586)-INDEX(FinancialData[Discounts],A586),2)=ROUND(INDEX(FinancialData[ [ Sales] ],A586),2)</f>
        <v>1</v>
      </c>
      <c r="D586" t="b" cm="1">
        <f t="array" ref="D586">ROUND(INDEX(FinancialData[ [ Sales] ],A586)-INDEX(FinancialData[COGS],A586),2)=ROUND(INDEX(FinancialData[Profit],A586),2)</f>
        <v>1</v>
      </c>
    </row>
    <row r="587" spans="1:4" x14ac:dyDescent="0.3">
      <c r="A587">
        <v>586</v>
      </c>
      <c r="B587" t="b">
        <f>ROUND(INDEX(FinancialData[Units Sold],1)*INDEX(FinancialData[Sale Price],1),2)=ROUND(INDEX(FinancialData[Gross Sales],1),2)</f>
        <v>1</v>
      </c>
      <c r="C587" s="12" t="b" cm="1">
        <f t="array" ref="C587">ROUND(INDEX(FinancialData[Gross Sales],A587)-INDEX(FinancialData[Discounts],A587),2)=ROUND(INDEX(FinancialData[ [ Sales] ],A587),2)</f>
        <v>1</v>
      </c>
      <c r="D587" t="b" cm="1">
        <f t="array" ref="D587">ROUND(INDEX(FinancialData[ [ Sales] ],A587)-INDEX(FinancialData[COGS],A587),2)=ROUND(INDEX(FinancialData[Profit],A587),2)</f>
        <v>1</v>
      </c>
    </row>
    <row r="588" spans="1:4" x14ac:dyDescent="0.3">
      <c r="A588">
        <v>587</v>
      </c>
      <c r="B588" t="b">
        <f>ROUND(INDEX(FinancialData[Units Sold],1)*INDEX(FinancialData[Sale Price],1),2)=ROUND(INDEX(FinancialData[Gross Sales],1),2)</f>
        <v>1</v>
      </c>
      <c r="C588" s="12" t="b" cm="1">
        <f t="array" ref="C588">ROUND(INDEX(FinancialData[Gross Sales],A588)-INDEX(FinancialData[Discounts],A588),2)=ROUND(INDEX(FinancialData[ [ Sales] ],A588),2)</f>
        <v>1</v>
      </c>
      <c r="D588" t="b" cm="1">
        <f t="array" ref="D588">ROUND(INDEX(FinancialData[ [ Sales] ],A588)-INDEX(FinancialData[COGS],A588),2)=ROUND(INDEX(FinancialData[Profit],A588),2)</f>
        <v>1</v>
      </c>
    </row>
    <row r="589" spans="1:4" x14ac:dyDescent="0.3">
      <c r="A589">
        <v>588</v>
      </c>
      <c r="B589" t="b">
        <f>ROUND(INDEX(FinancialData[Units Sold],1)*INDEX(FinancialData[Sale Price],1),2)=ROUND(INDEX(FinancialData[Gross Sales],1),2)</f>
        <v>1</v>
      </c>
      <c r="C589" s="12" t="b" cm="1">
        <f t="array" ref="C589">ROUND(INDEX(FinancialData[Gross Sales],A589)-INDEX(FinancialData[Discounts],A589),2)=ROUND(INDEX(FinancialData[ [ Sales] ],A589),2)</f>
        <v>1</v>
      </c>
      <c r="D589" t="b" cm="1">
        <f t="array" ref="D589">ROUND(INDEX(FinancialData[ [ Sales] ],A589)-INDEX(FinancialData[COGS],A589),2)=ROUND(INDEX(FinancialData[Profit],A589),2)</f>
        <v>1</v>
      </c>
    </row>
    <row r="590" spans="1:4" x14ac:dyDescent="0.3">
      <c r="A590">
        <v>589</v>
      </c>
      <c r="B590" t="b">
        <f>ROUND(INDEX(FinancialData[Units Sold],1)*INDEX(FinancialData[Sale Price],1),2)=ROUND(INDEX(FinancialData[Gross Sales],1),2)</f>
        <v>1</v>
      </c>
      <c r="C590" s="12" t="b" cm="1">
        <f t="array" ref="C590">ROUND(INDEX(FinancialData[Gross Sales],A590)-INDEX(FinancialData[Discounts],A590),2)=ROUND(INDEX(FinancialData[ [ Sales] ],A590),2)</f>
        <v>1</v>
      </c>
      <c r="D590" t="b" cm="1">
        <f t="array" ref="D590">ROUND(INDEX(FinancialData[ [ Sales] ],A590)-INDEX(FinancialData[COGS],A590),2)=ROUND(INDEX(FinancialData[Profit],A590),2)</f>
        <v>1</v>
      </c>
    </row>
    <row r="591" spans="1:4" x14ac:dyDescent="0.3">
      <c r="A591">
        <v>590</v>
      </c>
      <c r="B591" t="b">
        <f>ROUND(INDEX(FinancialData[Units Sold],1)*INDEX(FinancialData[Sale Price],1),2)=ROUND(INDEX(FinancialData[Gross Sales],1),2)</f>
        <v>1</v>
      </c>
      <c r="C591" s="12" t="b" cm="1">
        <f t="array" ref="C591">ROUND(INDEX(FinancialData[Gross Sales],A591)-INDEX(FinancialData[Discounts],A591),2)=ROUND(INDEX(FinancialData[ [ Sales] ],A591),2)</f>
        <v>1</v>
      </c>
      <c r="D591" t="b" cm="1">
        <f t="array" ref="D591">ROUND(INDEX(FinancialData[ [ Sales] ],A591)-INDEX(FinancialData[COGS],A591),2)=ROUND(INDEX(FinancialData[Profit],A591),2)</f>
        <v>1</v>
      </c>
    </row>
    <row r="592" spans="1:4" x14ac:dyDescent="0.3">
      <c r="A592">
        <v>591</v>
      </c>
      <c r="B592" t="b">
        <f>ROUND(INDEX(FinancialData[Units Sold],1)*INDEX(FinancialData[Sale Price],1),2)=ROUND(INDEX(FinancialData[Gross Sales],1),2)</f>
        <v>1</v>
      </c>
      <c r="C592" s="12" t="b" cm="1">
        <f t="array" ref="C592">ROUND(INDEX(FinancialData[Gross Sales],A592)-INDEX(FinancialData[Discounts],A592),2)=ROUND(INDEX(FinancialData[ [ Sales] ],A592),2)</f>
        <v>1</v>
      </c>
      <c r="D592" t="b" cm="1">
        <f t="array" ref="D592">ROUND(INDEX(FinancialData[ [ Sales] ],A592)-INDEX(FinancialData[COGS],A592),2)=ROUND(INDEX(FinancialData[Profit],A592),2)</f>
        <v>1</v>
      </c>
    </row>
    <row r="593" spans="1:4" x14ac:dyDescent="0.3">
      <c r="A593">
        <v>592</v>
      </c>
      <c r="B593" t="b">
        <f>ROUND(INDEX(FinancialData[Units Sold],1)*INDEX(FinancialData[Sale Price],1),2)=ROUND(INDEX(FinancialData[Gross Sales],1),2)</f>
        <v>1</v>
      </c>
      <c r="C593" s="12" t="b" cm="1">
        <f t="array" ref="C593">ROUND(INDEX(FinancialData[Gross Sales],A593)-INDEX(FinancialData[Discounts],A593),2)=ROUND(INDEX(FinancialData[ [ Sales] ],A593),2)</f>
        <v>1</v>
      </c>
      <c r="D593" t="b" cm="1">
        <f t="array" ref="D593">ROUND(INDEX(FinancialData[ [ Sales] ],A593)-INDEX(FinancialData[COGS],A593),2)=ROUND(INDEX(FinancialData[Profit],A593),2)</f>
        <v>1</v>
      </c>
    </row>
    <row r="594" spans="1:4" x14ac:dyDescent="0.3">
      <c r="A594">
        <v>593</v>
      </c>
      <c r="B594" t="b">
        <f>ROUND(INDEX(FinancialData[Units Sold],1)*INDEX(FinancialData[Sale Price],1),2)=ROUND(INDEX(FinancialData[Gross Sales],1),2)</f>
        <v>1</v>
      </c>
      <c r="C594" s="12" t="b" cm="1">
        <f t="array" ref="C594">ROUND(INDEX(FinancialData[Gross Sales],A594)-INDEX(FinancialData[Discounts],A594),2)=ROUND(INDEX(FinancialData[ [ Sales] ],A594),2)</f>
        <v>1</v>
      </c>
      <c r="D594" t="b" cm="1">
        <f t="array" ref="D594">ROUND(INDEX(FinancialData[ [ Sales] ],A594)-INDEX(FinancialData[COGS],A594),2)=ROUND(INDEX(FinancialData[Profit],A594),2)</f>
        <v>1</v>
      </c>
    </row>
    <row r="595" spans="1:4" x14ac:dyDescent="0.3">
      <c r="A595">
        <v>594</v>
      </c>
      <c r="B595" t="b">
        <f>ROUND(INDEX(FinancialData[Units Sold],1)*INDEX(FinancialData[Sale Price],1),2)=ROUND(INDEX(FinancialData[Gross Sales],1),2)</f>
        <v>1</v>
      </c>
      <c r="C595" s="12" t="b" cm="1">
        <f t="array" ref="C595">ROUND(INDEX(FinancialData[Gross Sales],A595)-INDEX(FinancialData[Discounts],A595),2)=ROUND(INDEX(FinancialData[ [ Sales] ],A595),2)</f>
        <v>1</v>
      </c>
      <c r="D595" t="b" cm="1">
        <f t="array" ref="D595">ROUND(INDEX(FinancialData[ [ Sales] ],A595)-INDEX(FinancialData[COGS],A595),2)=ROUND(INDEX(FinancialData[Profit],A595),2)</f>
        <v>1</v>
      </c>
    </row>
    <row r="596" spans="1:4" x14ac:dyDescent="0.3">
      <c r="A596">
        <v>595</v>
      </c>
      <c r="B596" t="b">
        <f>ROUND(INDEX(FinancialData[Units Sold],1)*INDEX(FinancialData[Sale Price],1),2)=ROUND(INDEX(FinancialData[Gross Sales],1),2)</f>
        <v>1</v>
      </c>
      <c r="C596" s="12" t="b" cm="1">
        <f t="array" ref="C596">ROUND(INDEX(FinancialData[Gross Sales],A596)-INDEX(FinancialData[Discounts],A596),2)=ROUND(INDEX(FinancialData[ [ Sales] ],A596),2)</f>
        <v>1</v>
      </c>
      <c r="D596" t="b" cm="1">
        <f t="array" ref="D596">ROUND(INDEX(FinancialData[ [ Sales] ],A596)-INDEX(FinancialData[COGS],A596),2)=ROUND(INDEX(FinancialData[Profit],A596),2)</f>
        <v>1</v>
      </c>
    </row>
    <row r="597" spans="1:4" x14ac:dyDescent="0.3">
      <c r="A597">
        <v>596</v>
      </c>
      <c r="B597" t="b">
        <f>ROUND(INDEX(FinancialData[Units Sold],1)*INDEX(FinancialData[Sale Price],1),2)=ROUND(INDEX(FinancialData[Gross Sales],1),2)</f>
        <v>1</v>
      </c>
      <c r="C597" s="12" t="b" cm="1">
        <f t="array" ref="C597">ROUND(INDEX(FinancialData[Gross Sales],A597)-INDEX(FinancialData[Discounts],A597),2)=ROUND(INDEX(FinancialData[ [ Sales] ],A597),2)</f>
        <v>1</v>
      </c>
      <c r="D597" t="b" cm="1">
        <f t="array" ref="D597">ROUND(INDEX(FinancialData[ [ Sales] ],A597)-INDEX(FinancialData[COGS],A597),2)=ROUND(INDEX(FinancialData[Profit],A597),2)</f>
        <v>1</v>
      </c>
    </row>
    <row r="598" spans="1:4" x14ac:dyDescent="0.3">
      <c r="A598">
        <v>597</v>
      </c>
      <c r="B598" t="b">
        <f>ROUND(INDEX(FinancialData[Units Sold],1)*INDEX(FinancialData[Sale Price],1),2)=ROUND(INDEX(FinancialData[Gross Sales],1),2)</f>
        <v>1</v>
      </c>
      <c r="C598" s="12" t="b" cm="1">
        <f t="array" ref="C598">ROUND(INDEX(FinancialData[Gross Sales],A598)-INDEX(FinancialData[Discounts],A598),2)=ROUND(INDEX(FinancialData[ [ Sales] ],A598),2)</f>
        <v>1</v>
      </c>
      <c r="D598" t="b" cm="1">
        <f t="array" ref="D598">ROUND(INDEX(FinancialData[ [ Sales] ],A598)-INDEX(FinancialData[COGS],A598),2)=ROUND(INDEX(FinancialData[Profit],A598),2)</f>
        <v>1</v>
      </c>
    </row>
    <row r="599" spans="1:4" x14ac:dyDescent="0.3">
      <c r="A599">
        <v>598</v>
      </c>
      <c r="B599" t="b">
        <f>ROUND(INDEX(FinancialData[Units Sold],1)*INDEX(FinancialData[Sale Price],1),2)=ROUND(INDEX(FinancialData[Gross Sales],1),2)</f>
        <v>1</v>
      </c>
      <c r="C599" s="12" t="b" cm="1">
        <f t="array" ref="C599">ROUND(INDEX(FinancialData[Gross Sales],A599)-INDEX(FinancialData[Discounts],A599),2)=ROUND(INDEX(FinancialData[ [ Sales] ],A599),2)</f>
        <v>1</v>
      </c>
      <c r="D599" t="b" cm="1">
        <f t="array" ref="D599">ROUND(INDEX(FinancialData[ [ Sales] ],A599)-INDEX(FinancialData[COGS],A599),2)=ROUND(INDEX(FinancialData[Profit],A599),2)</f>
        <v>1</v>
      </c>
    </row>
    <row r="600" spans="1:4" x14ac:dyDescent="0.3">
      <c r="A600">
        <v>599</v>
      </c>
      <c r="B600" t="b">
        <f>ROUND(INDEX(FinancialData[Units Sold],1)*INDEX(FinancialData[Sale Price],1),2)=ROUND(INDEX(FinancialData[Gross Sales],1),2)</f>
        <v>1</v>
      </c>
      <c r="C600" s="12" t="b" cm="1">
        <f t="array" ref="C600">ROUND(INDEX(FinancialData[Gross Sales],A600)-INDEX(FinancialData[Discounts],A600),2)=ROUND(INDEX(FinancialData[ [ Sales] ],A600),2)</f>
        <v>1</v>
      </c>
      <c r="D600" t="b" cm="1">
        <f t="array" ref="D600">ROUND(INDEX(FinancialData[ [ Sales] ],A600)-INDEX(FinancialData[COGS],A600),2)=ROUND(INDEX(FinancialData[Profit],A600),2)</f>
        <v>1</v>
      </c>
    </row>
    <row r="601" spans="1:4" x14ac:dyDescent="0.3">
      <c r="A601">
        <v>600</v>
      </c>
      <c r="B601" t="b">
        <f>ROUND(INDEX(FinancialData[Units Sold],1)*INDEX(FinancialData[Sale Price],1),2)=ROUND(INDEX(FinancialData[Gross Sales],1),2)</f>
        <v>1</v>
      </c>
      <c r="C601" s="12" t="b" cm="1">
        <f t="array" ref="C601">ROUND(INDEX(FinancialData[Gross Sales],A601)-INDEX(FinancialData[Discounts],A601),2)=ROUND(INDEX(FinancialData[ [ Sales] ],A601),2)</f>
        <v>1</v>
      </c>
      <c r="D601" t="b" cm="1">
        <f t="array" ref="D601">ROUND(INDEX(FinancialData[ [ Sales] ],A601)-INDEX(FinancialData[COGS],A601),2)=ROUND(INDEX(FinancialData[Profit],A601),2)</f>
        <v>1</v>
      </c>
    </row>
    <row r="602" spans="1:4" x14ac:dyDescent="0.3">
      <c r="A602">
        <v>601</v>
      </c>
      <c r="B602" t="b">
        <f>ROUND(INDEX(FinancialData[Units Sold],1)*INDEX(FinancialData[Sale Price],1),2)=ROUND(INDEX(FinancialData[Gross Sales],1),2)</f>
        <v>1</v>
      </c>
      <c r="C602" s="12" t="b" cm="1">
        <f t="array" ref="C602">ROUND(INDEX(FinancialData[Gross Sales],A602)-INDEX(FinancialData[Discounts],A602),2)=ROUND(INDEX(FinancialData[ [ Sales] ],A602),2)</f>
        <v>1</v>
      </c>
      <c r="D602" t="b" cm="1">
        <f t="array" ref="D602">ROUND(INDEX(FinancialData[ [ Sales] ],A602)-INDEX(FinancialData[COGS],A602),2)=ROUND(INDEX(FinancialData[Profit],A602),2)</f>
        <v>1</v>
      </c>
    </row>
    <row r="603" spans="1:4" x14ac:dyDescent="0.3">
      <c r="A603">
        <v>602</v>
      </c>
      <c r="B603" t="b">
        <f>ROUND(INDEX(FinancialData[Units Sold],1)*INDEX(FinancialData[Sale Price],1),2)=ROUND(INDEX(FinancialData[Gross Sales],1),2)</f>
        <v>1</v>
      </c>
      <c r="C603" s="12" t="b" cm="1">
        <f t="array" ref="C603">ROUND(INDEX(FinancialData[Gross Sales],A603)-INDEX(FinancialData[Discounts],A603),2)=ROUND(INDEX(FinancialData[ [ Sales] ],A603),2)</f>
        <v>1</v>
      </c>
      <c r="D603" t="b" cm="1">
        <f t="array" ref="D603">ROUND(INDEX(FinancialData[ [ Sales] ],A603)-INDEX(FinancialData[COGS],A603),2)=ROUND(INDEX(FinancialData[Profit],A603),2)</f>
        <v>1</v>
      </c>
    </row>
    <row r="604" spans="1:4" x14ac:dyDescent="0.3">
      <c r="A604">
        <v>603</v>
      </c>
      <c r="B604" t="b">
        <f>ROUND(INDEX(FinancialData[Units Sold],1)*INDEX(FinancialData[Sale Price],1),2)=ROUND(INDEX(FinancialData[Gross Sales],1),2)</f>
        <v>1</v>
      </c>
      <c r="C604" s="12" t="b" cm="1">
        <f t="array" ref="C604">ROUND(INDEX(FinancialData[Gross Sales],A604)-INDEX(FinancialData[Discounts],A604),2)=ROUND(INDEX(FinancialData[ [ Sales] ],A604),2)</f>
        <v>1</v>
      </c>
      <c r="D604" t="b" cm="1">
        <f t="array" ref="D604">ROUND(INDEX(FinancialData[ [ Sales] ],A604)-INDEX(FinancialData[COGS],A604),2)=ROUND(INDEX(FinancialData[Profit],A604),2)</f>
        <v>1</v>
      </c>
    </row>
    <row r="605" spans="1:4" x14ac:dyDescent="0.3">
      <c r="A605">
        <v>604</v>
      </c>
      <c r="B605" t="b">
        <f>ROUND(INDEX(FinancialData[Units Sold],1)*INDEX(FinancialData[Sale Price],1),2)=ROUND(INDEX(FinancialData[Gross Sales],1),2)</f>
        <v>1</v>
      </c>
      <c r="C605" s="12" t="b" cm="1">
        <f t="array" ref="C605">ROUND(INDEX(FinancialData[Gross Sales],A605)-INDEX(FinancialData[Discounts],A605),2)=ROUND(INDEX(FinancialData[ [ Sales] ],A605),2)</f>
        <v>1</v>
      </c>
      <c r="D605" t="b" cm="1">
        <f t="array" ref="D605">ROUND(INDEX(FinancialData[ [ Sales] ],A605)-INDEX(FinancialData[COGS],A605),2)=ROUND(INDEX(FinancialData[Profit],A605),2)</f>
        <v>1</v>
      </c>
    </row>
    <row r="606" spans="1:4" x14ac:dyDescent="0.3">
      <c r="A606">
        <v>605</v>
      </c>
      <c r="B606" t="b">
        <f>ROUND(INDEX(FinancialData[Units Sold],1)*INDEX(FinancialData[Sale Price],1),2)=ROUND(INDEX(FinancialData[Gross Sales],1),2)</f>
        <v>1</v>
      </c>
      <c r="C606" s="12" t="b" cm="1">
        <f t="array" ref="C606">ROUND(INDEX(FinancialData[Gross Sales],A606)-INDEX(FinancialData[Discounts],A606),2)=ROUND(INDEX(FinancialData[ [ Sales] ],A606),2)</f>
        <v>1</v>
      </c>
      <c r="D606" t="b" cm="1">
        <f t="array" ref="D606">ROUND(INDEX(FinancialData[ [ Sales] ],A606)-INDEX(FinancialData[COGS],A606),2)=ROUND(INDEX(FinancialData[Profit],A606),2)</f>
        <v>1</v>
      </c>
    </row>
    <row r="607" spans="1:4" x14ac:dyDescent="0.3">
      <c r="A607">
        <v>606</v>
      </c>
      <c r="B607" t="b">
        <f>ROUND(INDEX(FinancialData[Units Sold],1)*INDEX(FinancialData[Sale Price],1),2)=ROUND(INDEX(FinancialData[Gross Sales],1),2)</f>
        <v>1</v>
      </c>
      <c r="C607" s="12" t="b" cm="1">
        <f t="array" ref="C607">ROUND(INDEX(FinancialData[Gross Sales],A607)-INDEX(FinancialData[Discounts],A607),2)=ROUND(INDEX(FinancialData[ [ Sales] ],A607),2)</f>
        <v>1</v>
      </c>
      <c r="D607" t="b" cm="1">
        <f t="array" ref="D607">ROUND(INDEX(FinancialData[ [ Sales] ],A607)-INDEX(FinancialData[COGS],A607),2)=ROUND(INDEX(FinancialData[Profit],A607),2)</f>
        <v>1</v>
      </c>
    </row>
    <row r="608" spans="1:4" x14ac:dyDescent="0.3">
      <c r="A608">
        <v>607</v>
      </c>
      <c r="B608" t="b">
        <f>ROUND(INDEX(FinancialData[Units Sold],1)*INDEX(FinancialData[Sale Price],1),2)=ROUND(INDEX(FinancialData[Gross Sales],1),2)</f>
        <v>1</v>
      </c>
      <c r="C608" s="12" t="b" cm="1">
        <f t="array" ref="C608">ROUND(INDEX(FinancialData[Gross Sales],A608)-INDEX(FinancialData[Discounts],A608),2)=ROUND(INDEX(FinancialData[ [ Sales] ],A608),2)</f>
        <v>1</v>
      </c>
      <c r="D608" t="b" cm="1">
        <f t="array" ref="D608">ROUND(INDEX(FinancialData[ [ Sales] ],A608)-INDEX(FinancialData[COGS],A608),2)=ROUND(INDEX(FinancialData[Profit],A608),2)</f>
        <v>1</v>
      </c>
    </row>
    <row r="609" spans="1:4" x14ac:dyDescent="0.3">
      <c r="A609">
        <v>608</v>
      </c>
      <c r="B609" t="b">
        <f>ROUND(INDEX(FinancialData[Units Sold],1)*INDEX(FinancialData[Sale Price],1),2)=ROUND(INDEX(FinancialData[Gross Sales],1),2)</f>
        <v>1</v>
      </c>
      <c r="C609" s="12" t="b" cm="1">
        <f t="array" ref="C609">ROUND(INDEX(FinancialData[Gross Sales],A609)-INDEX(FinancialData[Discounts],A609),2)=ROUND(INDEX(FinancialData[ [ Sales] ],A609),2)</f>
        <v>1</v>
      </c>
      <c r="D609" t="b" cm="1">
        <f t="array" ref="D609">ROUND(INDEX(FinancialData[ [ Sales] ],A609)-INDEX(FinancialData[COGS],A609),2)=ROUND(INDEX(FinancialData[Profit],A609),2)</f>
        <v>1</v>
      </c>
    </row>
    <row r="610" spans="1:4" x14ac:dyDescent="0.3">
      <c r="A610">
        <v>609</v>
      </c>
      <c r="B610" t="b">
        <f>ROUND(INDEX(FinancialData[Units Sold],1)*INDEX(FinancialData[Sale Price],1),2)=ROUND(INDEX(FinancialData[Gross Sales],1),2)</f>
        <v>1</v>
      </c>
      <c r="C610" s="12" t="b" cm="1">
        <f t="array" ref="C610">ROUND(INDEX(FinancialData[Gross Sales],A610)-INDEX(FinancialData[Discounts],A610),2)=ROUND(INDEX(FinancialData[ [ Sales] ],A610),2)</f>
        <v>1</v>
      </c>
      <c r="D610" t="b" cm="1">
        <f t="array" ref="D610">ROUND(INDEX(FinancialData[ [ Sales] ],A610)-INDEX(FinancialData[COGS],A610),2)=ROUND(INDEX(FinancialData[Profit],A610),2)</f>
        <v>1</v>
      </c>
    </row>
    <row r="611" spans="1:4" x14ac:dyDescent="0.3">
      <c r="A611">
        <v>610</v>
      </c>
      <c r="B611" t="b">
        <f>ROUND(INDEX(FinancialData[Units Sold],1)*INDEX(FinancialData[Sale Price],1),2)=ROUND(INDEX(FinancialData[Gross Sales],1),2)</f>
        <v>1</v>
      </c>
      <c r="C611" s="12" t="b" cm="1">
        <f t="array" ref="C611">ROUND(INDEX(FinancialData[Gross Sales],A611)-INDEX(FinancialData[Discounts],A611),2)=ROUND(INDEX(FinancialData[ [ Sales] ],A611),2)</f>
        <v>1</v>
      </c>
      <c r="D611" t="b" cm="1">
        <f t="array" ref="D611">ROUND(INDEX(FinancialData[ [ Sales] ],A611)-INDEX(FinancialData[COGS],A611),2)=ROUND(INDEX(FinancialData[Profit],A611),2)</f>
        <v>1</v>
      </c>
    </row>
    <row r="612" spans="1:4" x14ac:dyDescent="0.3">
      <c r="A612">
        <v>611</v>
      </c>
      <c r="B612" t="b">
        <f>ROUND(INDEX(FinancialData[Units Sold],1)*INDEX(FinancialData[Sale Price],1),2)=ROUND(INDEX(FinancialData[Gross Sales],1),2)</f>
        <v>1</v>
      </c>
      <c r="C612" s="12" t="b" cm="1">
        <f t="array" ref="C612">ROUND(INDEX(FinancialData[Gross Sales],A612)-INDEX(FinancialData[Discounts],A612),2)=ROUND(INDEX(FinancialData[ [ Sales] ],A612),2)</f>
        <v>1</v>
      </c>
      <c r="D612" t="b" cm="1">
        <f t="array" ref="D612">ROUND(INDEX(FinancialData[ [ Sales] ],A612)-INDEX(FinancialData[COGS],A612),2)=ROUND(INDEX(FinancialData[Profit],A612),2)</f>
        <v>1</v>
      </c>
    </row>
    <row r="613" spans="1:4" x14ac:dyDescent="0.3">
      <c r="A613">
        <v>612</v>
      </c>
      <c r="B613" t="b">
        <f>ROUND(INDEX(FinancialData[Units Sold],1)*INDEX(FinancialData[Sale Price],1),2)=ROUND(INDEX(FinancialData[Gross Sales],1),2)</f>
        <v>1</v>
      </c>
      <c r="C613" s="12" t="b" cm="1">
        <f t="array" ref="C613">ROUND(INDEX(FinancialData[Gross Sales],A613)-INDEX(FinancialData[Discounts],A613),2)=ROUND(INDEX(FinancialData[ [ Sales] ],A613),2)</f>
        <v>1</v>
      </c>
      <c r="D613" t="b" cm="1">
        <f t="array" ref="D613">ROUND(INDEX(FinancialData[ [ Sales] ],A613)-INDEX(FinancialData[COGS],A613),2)=ROUND(INDEX(FinancialData[Profit],A613),2)</f>
        <v>1</v>
      </c>
    </row>
    <row r="614" spans="1:4" x14ac:dyDescent="0.3">
      <c r="A614">
        <v>613</v>
      </c>
      <c r="B614" t="b">
        <f>ROUND(INDEX(FinancialData[Units Sold],1)*INDEX(FinancialData[Sale Price],1),2)=ROUND(INDEX(FinancialData[Gross Sales],1),2)</f>
        <v>1</v>
      </c>
      <c r="C614" s="12" t="b" cm="1">
        <f t="array" ref="C614">ROUND(INDEX(FinancialData[Gross Sales],A614)-INDEX(FinancialData[Discounts],A614),2)=ROUND(INDEX(FinancialData[ [ Sales] ],A614),2)</f>
        <v>1</v>
      </c>
      <c r="D614" t="b" cm="1">
        <f t="array" ref="D614">ROUND(INDEX(FinancialData[ [ Sales] ],A614)-INDEX(FinancialData[COGS],A614),2)=ROUND(INDEX(FinancialData[Profit],A614),2)</f>
        <v>1</v>
      </c>
    </row>
    <row r="615" spans="1:4" x14ac:dyDescent="0.3">
      <c r="A615">
        <v>614</v>
      </c>
      <c r="B615" t="b">
        <f>ROUND(INDEX(FinancialData[Units Sold],1)*INDEX(FinancialData[Sale Price],1),2)=ROUND(INDEX(FinancialData[Gross Sales],1),2)</f>
        <v>1</v>
      </c>
      <c r="C615" s="12" t="b" cm="1">
        <f t="array" ref="C615">ROUND(INDEX(FinancialData[Gross Sales],A615)-INDEX(FinancialData[Discounts],A615),2)=ROUND(INDEX(FinancialData[ [ Sales] ],A615),2)</f>
        <v>1</v>
      </c>
      <c r="D615" t="b" cm="1">
        <f t="array" ref="D615">ROUND(INDEX(FinancialData[ [ Sales] ],A615)-INDEX(FinancialData[COGS],A615),2)=ROUND(INDEX(FinancialData[Profit],A615),2)</f>
        <v>1</v>
      </c>
    </row>
    <row r="616" spans="1:4" x14ac:dyDescent="0.3">
      <c r="A616">
        <v>615</v>
      </c>
      <c r="B616" t="b">
        <f>ROUND(INDEX(FinancialData[Units Sold],1)*INDEX(FinancialData[Sale Price],1),2)=ROUND(INDEX(FinancialData[Gross Sales],1),2)</f>
        <v>1</v>
      </c>
      <c r="C616" s="12" t="b" cm="1">
        <f t="array" ref="C616">ROUND(INDEX(FinancialData[Gross Sales],A616)-INDEX(FinancialData[Discounts],A616),2)=ROUND(INDEX(FinancialData[ [ Sales] ],A616),2)</f>
        <v>1</v>
      </c>
      <c r="D616" t="b" cm="1">
        <f t="array" ref="D616">ROUND(INDEX(FinancialData[ [ Sales] ],A616)-INDEX(FinancialData[COGS],A616),2)=ROUND(INDEX(FinancialData[Profit],A616),2)</f>
        <v>1</v>
      </c>
    </row>
    <row r="617" spans="1:4" x14ac:dyDescent="0.3">
      <c r="A617">
        <v>616</v>
      </c>
      <c r="B617" t="b">
        <f>ROUND(INDEX(FinancialData[Units Sold],1)*INDEX(FinancialData[Sale Price],1),2)=ROUND(INDEX(FinancialData[Gross Sales],1),2)</f>
        <v>1</v>
      </c>
      <c r="C617" s="12" t="b" cm="1">
        <f t="array" ref="C617">ROUND(INDEX(FinancialData[Gross Sales],A617)-INDEX(FinancialData[Discounts],A617),2)=ROUND(INDEX(FinancialData[ [ Sales] ],A617),2)</f>
        <v>1</v>
      </c>
      <c r="D617" t="b" cm="1">
        <f t="array" ref="D617">ROUND(INDEX(FinancialData[ [ Sales] ],A617)-INDEX(FinancialData[COGS],A617),2)=ROUND(INDEX(FinancialData[Profit],A617),2)</f>
        <v>1</v>
      </c>
    </row>
    <row r="618" spans="1:4" x14ac:dyDescent="0.3">
      <c r="A618">
        <v>617</v>
      </c>
      <c r="B618" t="b">
        <f>ROUND(INDEX(FinancialData[Units Sold],1)*INDEX(FinancialData[Sale Price],1),2)=ROUND(INDEX(FinancialData[Gross Sales],1),2)</f>
        <v>1</v>
      </c>
      <c r="C618" s="12" t="b" cm="1">
        <f t="array" ref="C618">ROUND(INDEX(FinancialData[Gross Sales],A618)-INDEX(FinancialData[Discounts],A618),2)=ROUND(INDEX(FinancialData[ [ Sales] ],A618),2)</f>
        <v>1</v>
      </c>
      <c r="D618" t="b" cm="1">
        <f t="array" ref="D618">ROUND(INDEX(FinancialData[ [ Sales] ],A618)-INDEX(FinancialData[COGS],A618),2)=ROUND(INDEX(FinancialData[Profit],A618),2)</f>
        <v>1</v>
      </c>
    </row>
    <row r="619" spans="1:4" x14ac:dyDescent="0.3">
      <c r="A619">
        <v>618</v>
      </c>
      <c r="B619" t="b">
        <f>ROUND(INDEX(FinancialData[Units Sold],1)*INDEX(FinancialData[Sale Price],1),2)=ROUND(INDEX(FinancialData[Gross Sales],1),2)</f>
        <v>1</v>
      </c>
      <c r="C619" s="12" t="b" cm="1">
        <f t="array" ref="C619">ROUND(INDEX(FinancialData[Gross Sales],A619)-INDEX(FinancialData[Discounts],A619),2)=ROUND(INDEX(FinancialData[ [ Sales] ],A619),2)</f>
        <v>1</v>
      </c>
      <c r="D619" t="b" cm="1">
        <f t="array" ref="D619">ROUND(INDEX(FinancialData[ [ Sales] ],A619)-INDEX(FinancialData[COGS],A619),2)=ROUND(INDEX(FinancialData[Profit],A619),2)</f>
        <v>1</v>
      </c>
    </row>
    <row r="620" spans="1:4" x14ac:dyDescent="0.3">
      <c r="A620">
        <v>619</v>
      </c>
      <c r="B620" t="b">
        <f>ROUND(INDEX(FinancialData[Units Sold],1)*INDEX(FinancialData[Sale Price],1),2)=ROUND(INDEX(FinancialData[Gross Sales],1),2)</f>
        <v>1</v>
      </c>
      <c r="C620" s="12" t="b" cm="1">
        <f t="array" ref="C620">ROUND(INDEX(FinancialData[Gross Sales],A620)-INDEX(FinancialData[Discounts],A620),2)=ROUND(INDEX(FinancialData[ [ Sales] ],A620),2)</f>
        <v>1</v>
      </c>
      <c r="D620" t="b" cm="1">
        <f t="array" ref="D620">ROUND(INDEX(FinancialData[ [ Sales] ],A620)-INDEX(FinancialData[COGS],A620),2)=ROUND(INDEX(FinancialData[Profit],A620),2)</f>
        <v>1</v>
      </c>
    </row>
    <row r="621" spans="1:4" x14ac:dyDescent="0.3">
      <c r="A621">
        <v>620</v>
      </c>
      <c r="B621" t="b">
        <f>ROUND(INDEX(FinancialData[Units Sold],1)*INDEX(FinancialData[Sale Price],1),2)=ROUND(INDEX(FinancialData[Gross Sales],1),2)</f>
        <v>1</v>
      </c>
      <c r="C621" s="12" t="b" cm="1">
        <f t="array" ref="C621">ROUND(INDEX(FinancialData[Gross Sales],A621)-INDEX(FinancialData[Discounts],A621),2)=ROUND(INDEX(FinancialData[ [ Sales] ],A621),2)</f>
        <v>1</v>
      </c>
      <c r="D621" t="b" cm="1">
        <f t="array" ref="D621">ROUND(INDEX(FinancialData[ [ Sales] ],A621)-INDEX(FinancialData[COGS],A621),2)=ROUND(INDEX(FinancialData[Profit],A621),2)</f>
        <v>1</v>
      </c>
    </row>
    <row r="622" spans="1:4" x14ac:dyDescent="0.3">
      <c r="A622">
        <v>621</v>
      </c>
      <c r="B622" t="b">
        <f>ROUND(INDEX(FinancialData[Units Sold],1)*INDEX(FinancialData[Sale Price],1),2)=ROUND(INDEX(FinancialData[Gross Sales],1),2)</f>
        <v>1</v>
      </c>
      <c r="C622" s="12" t="b" cm="1">
        <f t="array" ref="C622">ROUND(INDEX(FinancialData[Gross Sales],A622)-INDEX(FinancialData[Discounts],A622),2)=ROUND(INDEX(FinancialData[ [ Sales] ],A622),2)</f>
        <v>1</v>
      </c>
      <c r="D622" t="b" cm="1">
        <f t="array" ref="D622">ROUND(INDEX(FinancialData[ [ Sales] ],A622)-INDEX(FinancialData[COGS],A622),2)=ROUND(INDEX(FinancialData[Profit],A622),2)</f>
        <v>1</v>
      </c>
    </row>
    <row r="623" spans="1:4" x14ac:dyDescent="0.3">
      <c r="A623">
        <v>622</v>
      </c>
      <c r="B623" t="b">
        <f>ROUND(INDEX(FinancialData[Units Sold],1)*INDEX(FinancialData[Sale Price],1),2)=ROUND(INDEX(FinancialData[Gross Sales],1),2)</f>
        <v>1</v>
      </c>
      <c r="C623" s="12" t="b" cm="1">
        <f t="array" ref="C623">ROUND(INDEX(FinancialData[Gross Sales],A623)-INDEX(FinancialData[Discounts],A623),2)=ROUND(INDEX(FinancialData[ [ Sales] ],A623),2)</f>
        <v>1</v>
      </c>
      <c r="D623" t="b" cm="1">
        <f t="array" ref="D623">ROUND(INDEX(FinancialData[ [ Sales] ],A623)-INDEX(FinancialData[COGS],A623),2)=ROUND(INDEX(FinancialData[Profit],A623),2)</f>
        <v>1</v>
      </c>
    </row>
    <row r="624" spans="1:4" x14ac:dyDescent="0.3">
      <c r="A624">
        <v>623</v>
      </c>
      <c r="B624" t="b">
        <f>ROUND(INDEX(FinancialData[Units Sold],1)*INDEX(FinancialData[Sale Price],1),2)=ROUND(INDEX(FinancialData[Gross Sales],1),2)</f>
        <v>1</v>
      </c>
      <c r="C624" s="12" t="b" cm="1">
        <f t="array" ref="C624">ROUND(INDEX(FinancialData[Gross Sales],A624)-INDEX(FinancialData[Discounts],A624),2)=ROUND(INDEX(FinancialData[ [ Sales] ],A624),2)</f>
        <v>1</v>
      </c>
      <c r="D624" t="b" cm="1">
        <f t="array" ref="D624">ROUND(INDEX(FinancialData[ [ Sales] ],A624)-INDEX(FinancialData[COGS],A624),2)=ROUND(INDEX(FinancialData[Profit],A624),2)</f>
        <v>1</v>
      </c>
    </row>
    <row r="625" spans="1:4" x14ac:dyDescent="0.3">
      <c r="A625">
        <v>624</v>
      </c>
      <c r="B625" t="b">
        <f>ROUND(INDEX(FinancialData[Units Sold],1)*INDEX(FinancialData[Sale Price],1),2)=ROUND(INDEX(FinancialData[Gross Sales],1),2)</f>
        <v>1</v>
      </c>
      <c r="C625" s="12" t="b" cm="1">
        <f t="array" ref="C625">ROUND(INDEX(FinancialData[Gross Sales],A625)-INDEX(FinancialData[Discounts],A625),2)=ROUND(INDEX(FinancialData[ [ Sales] ],A625),2)</f>
        <v>1</v>
      </c>
      <c r="D625" t="b" cm="1">
        <f t="array" ref="D625">ROUND(INDEX(FinancialData[ [ Sales] ],A625)-INDEX(FinancialData[COGS],A625),2)=ROUND(INDEX(FinancialData[Profit],A625),2)</f>
        <v>1</v>
      </c>
    </row>
    <row r="626" spans="1:4" x14ac:dyDescent="0.3">
      <c r="A626">
        <v>625</v>
      </c>
      <c r="B626" t="b">
        <f>ROUND(INDEX(FinancialData[Units Sold],1)*INDEX(FinancialData[Sale Price],1),2)=ROUND(INDEX(FinancialData[Gross Sales],1),2)</f>
        <v>1</v>
      </c>
      <c r="C626" s="12" t="b" cm="1">
        <f t="array" ref="C626">ROUND(INDEX(FinancialData[Gross Sales],A626)-INDEX(FinancialData[Discounts],A626),2)=ROUND(INDEX(FinancialData[ [ Sales] ],A626),2)</f>
        <v>1</v>
      </c>
      <c r="D626" t="b" cm="1">
        <f t="array" ref="D626">ROUND(INDEX(FinancialData[ [ Sales] ],A626)-INDEX(FinancialData[COGS],A626),2)=ROUND(INDEX(FinancialData[Profit],A626),2)</f>
        <v>1</v>
      </c>
    </row>
    <row r="627" spans="1:4" x14ac:dyDescent="0.3">
      <c r="A627">
        <v>626</v>
      </c>
      <c r="B627" t="b">
        <f>ROUND(INDEX(FinancialData[Units Sold],1)*INDEX(FinancialData[Sale Price],1),2)=ROUND(INDEX(FinancialData[Gross Sales],1),2)</f>
        <v>1</v>
      </c>
      <c r="C627" s="12" t="b" cm="1">
        <f t="array" ref="C627">ROUND(INDEX(FinancialData[Gross Sales],A627)-INDEX(FinancialData[Discounts],A627),2)=ROUND(INDEX(FinancialData[ [ Sales] ],A627),2)</f>
        <v>1</v>
      </c>
      <c r="D627" t="b" cm="1">
        <f t="array" ref="D627">ROUND(INDEX(FinancialData[ [ Sales] ],A627)-INDEX(FinancialData[COGS],A627),2)=ROUND(INDEX(FinancialData[Profit],A627),2)</f>
        <v>1</v>
      </c>
    </row>
    <row r="628" spans="1:4" x14ac:dyDescent="0.3">
      <c r="A628">
        <v>627</v>
      </c>
      <c r="B628" t="b">
        <f>ROUND(INDEX(FinancialData[Units Sold],1)*INDEX(FinancialData[Sale Price],1),2)=ROUND(INDEX(FinancialData[Gross Sales],1),2)</f>
        <v>1</v>
      </c>
      <c r="C628" s="12" t="b" cm="1">
        <f t="array" ref="C628">ROUND(INDEX(FinancialData[Gross Sales],A628)-INDEX(FinancialData[Discounts],A628),2)=ROUND(INDEX(FinancialData[ [ Sales] ],A628),2)</f>
        <v>1</v>
      </c>
      <c r="D628" t="b" cm="1">
        <f t="array" ref="D628">ROUND(INDEX(FinancialData[ [ Sales] ],A628)-INDEX(FinancialData[COGS],A628),2)=ROUND(INDEX(FinancialData[Profit],A628),2)</f>
        <v>1</v>
      </c>
    </row>
    <row r="629" spans="1:4" x14ac:dyDescent="0.3">
      <c r="A629">
        <v>628</v>
      </c>
      <c r="B629" t="b">
        <f>ROUND(INDEX(FinancialData[Units Sold],1)*INDEX(FinancialData[Sale Price],1),2)=ROUND(INDEX(FinancialData[Gross Sales],1),2)</f>
        <v>1</v>
      </c>
      <c r="C629" s="12" t="b" cm="1">
        <f t="array" ref="C629">ROUND(INDEX(FinancialData[Gross Sales],A629)-INDEX(FinancialData[Discounts],A629),2)=ROUND(INDEX(FinancialData[ [ Sales] ],A629),2)</f>
        <v>1</v>
      </c>
      <c r="D629" t="b" cm="1">
        <f t="array" ref="D629">ROUND(INDEX(FinancialData[ [ Sales] ],A629)-INDEX(FinancialData[COGS],A629),2)=ROUND(INDEX(FinancialData[Profit],A629),2)</f>
        <v>1</v>
      </c>
    </row>
    <row r="630" spans="1:4" x14ac:dyDescent="0.3">
      <c r="A630">
        <v>629</v>
      </c>
      <c r="B630" t="b">
        <f>ROUND(INDEX(FinancialData[Units Sold],1)*INDEX(FinancialData[Sale Price],1),2)=ROUND(INDEX(FinancialData[Gross Sales],1),2)</f>
        <v>1</v>
      </c>
      <c r="C630" s="12" t="b" cm="1">
        <f t="array" ref="C630">ROUND(INDEX(FinancialData[Gross Sales],A630)-INDEX(FinancialData[Discounts],A630),2)=ROUND(INDEX(FinancialData[ [ Sales] ],A630),2)</f>
        <v>1</v>
      </c>
      <c r="D630" t="b" cm="1">
        <f t="array" ref="D630">ROUND(INDEX(FinancialData[ [ Sales] ],A630)-INDEX(FinancialData[COGS],A630),2)=ROUND(INDEX(FinancialData[Profit],A630),2)</f>
        <v>1</v>
      </c>
    </row>
    <row r="631" spans="1:4" x14ac:dyDescent="0.3">
      <c r="A631">
        <v>630</v>
      </c>
      <c r="B631" t="b">
        <f>ROUND(INDEX(FinancialData[Units Sold],1)*INDEX(FinancialData[Sale Price],1),2)=ROUND(INDEX(FinancialData[Gross Sales],1),2)</f>
        <v>1</v>
      </c>
      <c r="C631" s="12" t="b" cm="1">
        <f t="array" ref="C631">ROUND(INDEX(FinancialData[Gross Sales],A631)-INDEX(FinancialData[Discounts],A631),2)=ROUND(INDEX(FinancialData[ [ Sales] ],A631),2)</f>
        <v>1</v>
      </c>
      <c r="D631" t="b" cm="1">
        <f t="array" ref="D631">ROUND(INDEX(FinancialData[ [ Sales] ],A631)-INDEX(FinancialData[COGS],A631),2)=ROUND(INDEX(FinancialData[Profit],A631),2)</f>
        <v>1</v>
      </c>
    </row>
    <row r="632" spans="1:4" x14ac:dyDescent="0.3">
      <c r="A632">
        <v>631</v>
      </c>
      <c r="B632" t="b">
        <f>ROUND(INDEX(FinancialData[Units Sold],1)*INDEX(FinancialData[Sale Price],1),2)=ROUND(INDEX(FinancialData[Gross Sales],1),2)</f>
        <v>1</v>
      </c>
      <c r="C632" s="12" t="b" cm="1">
        <f t="array" ref="C632">ROUND(INDEX(FinancialData[Gross Sales],A632)-INDEX(FinancialData[Discounts],A632),2)=ROUND(INDEX(FinancialData[ [ Sales] ],A632),2)</f>
        <v>1</v>
      </c>
      <c r="D632" t="b" cm="1">
        <f t="array" ref="D632">ROUND(INDEX(FinancialData[ [ Sales] ],A632)-INDEX(FinancialData[COGS],A632),2)=ROUND(INDEX(FinancialData[Profit],A632),2)</f>
        <v>1</v>
      </c>
    </row>
    <row r="633" spans="1:4" x14ac:dyDescent="0.3">
      <c r="A633">
        <v>632</v>
      </c>
      <c r="B633" t="b">
        <f>ROUND(INDEX(FinancialData[Units Sold],1)*INDEX(FinancialData[Sale Price],1),2)=ROUND(INDEX(FinancialData[Gross Sales],1),2)</f>
        <v>1</v>
      </c>
      <c r="C633" s="12" t="b" cm="1">
        <f t="array" ref="C633">ROUND(INDEX(FinancialData[Gross Sales],A633)-INDEX(FinancialData[Discounts],A633),2)=ROUND(INDEX(FinancialData[ [ Sales] ],A633),2)</f>
        <v>1</v>
      </c>
      <c r="D633" t="b" cm="1">
        <f t="array" ref="D633">ROUND(INDEX(FinancialData[ [ Sales] ],A633)-INDEX(FinancialData[COGS],A633),2)=ROUND(INDEX(FinancialData[Profit],A633),2)</f>
        <v>1</v>
      </c>
    </row>
    <row r="634" spans="1:4" x14ac:dyDescent="0.3">
      <c r="A634">
        <v>633</v>
      </c>
      <c r="B634" t="b">
        <f>ROUND(INDEX(FinancialData[Units Sold],1)*INDEX(FinancialData[Sale Price],1),2)=ROUND(INDEX(FinancialData[Gross Sales],1),2)</f>
        <v>1</v>
      </c>
      <c r="C634" s="12" t="b" cm="1">
        <f t="array" ref="C634">ROUND(INDEX(FinancialData[Gross Sales],A634)-INDEX(FinancialData[Discounts],A634),2)=ROUND(INDEX(FinancialData[ [ Sales] ],A634),2)</f>
        <v>1</v>
      </c>
      <c r="D634" t="b" cm="1">
        <f t="array" ref="D634">ROUND(INDEX(FinancialData[ [ Sales] ],A634)-INDEX(FinancialData[COGS],A634),2)=ROUND(INDEX(FinancialData[Profit],A634),2)</f>
        <v>1</v>
      </c>
    </row>
    <row r="635" spans="1:4" x14ac:dyDescent="0.3">
      <c r="A635">
        <v>634</v>
      </c>
      <c r="B635" t="b">
        <f>ROUND(INDEX(FinancialData[Units Sold],1)*INDEX(FinancialData[Sale Price],1),2)=ROUND(INDEX(FinancialData[Gross Sales],1),2)</f>
        <v>1</v>
      </c>
      <c r="C635" s="12" t="b" cm="1">
        <f t="array" ref="C635">ROUND(INDEX(FinancialData[Gross Sales],A635)-INDEX(FinancialData[Discounts],A635),2)=ROUND(INDEX(FinancialData[ [ Sales] ],A635),2)</f>
        <v>1</v>
      </c>
      <c r="D635" t="b" cm="1">
        <f t="array" ref="D635">ROUND(INDEX(FinancialData[ [ Sales] ],A635)-INDEX(FinancialData[COGS],A635),2)=ROUND(INDEX(FinancialData[Profit],A635),2)</f>
        <v>1</v>
      </c>
    </row>
    <row r="636" spans="1:4" x14ac:dyDescent="0.3">
      <c r="A636">
        <v>635</v>
      </c>
      <c r="B636" t="b">
        <f>ROUND(INDEX(FinancialData[Units Sold],1)*INDEX(FinancialData[Sale Price],1),2)=ROUND(INDEX(FinancialData[Gross Sales],1),2)</f>
        <v>1</v>
      </c>
      <c r="C636" s="12" t="b" cm="1">
        <f t="array" ref="C636">ROUND(INDEX(FinancialData[Gross Sales],A636)-INDEX(FinancialData[Discounts],A636),2)=ROUND(INDEX(FinancialData[ [ Sales] ],A636),2)</f>
        <v>1</v>
      </c>
      <c r="D636" t="b" cm="1">
        <f t="array" ref="D636">ROUND(INDEX(FinancialData[ [ Sales] ],A636)-INDEX(FinancialData[COGS],A636),2)=ROUND(INDEX(FinancialData[Profit],A636),2)</f>
        <v>1</v>
      </c>
    </row>
    <row r="637" spans="1:4" x14ac:dyDescent="0.3">
      <c r="A637">
        <v>636</v>
      </c>
      <c r="B637" t="b">
        <f>ROUND(INDEX(FinancialData[Units Sold],1)*INDEX(FinancialData[Sale Price],1),2)=ROUND(INDEX(FinancialData[Gross Sales],1),2)</f>
        <v>1</v>
      </c>
      <c r="C637" s="12" t="b" cm="1">
        <f t="array" ref="C637">ROUND(INDEX(FinancialData[Gross Sales],A637)-INDEX(FinancialData[Discounts],A637),2)=ROUND(INDEX(FinancialData[ [ Sales] ],A637),2)</f>
        <v>1</v>
      </c>
      <c r="D637" t="b" cm="1">
        <f t="array" ref="D637">ROUND(INDEX(FinancialData[ [ Sales] ],A637)-INDEX(FinancialData[COGS],A637),2)=ROUND(INDEX(FinancialData[Profit],A637),2)</f>
        <v>1</v>
      </c>
    </row>
    <row r="638" spans="1:4" x14ac:dyDescent="0.3">
      <c r="A638">
        <v>637</v>
      </c>
      <c r="B638" t="b">
        <f>ROUND(INDEX(FinancialData[Units Sold],1)*INDEX(FinancialData[Sale Price],1),2)=ROUND(INDEX(FinancialData[Gross Sales],1),2)</f>
        <v>1</v>
      </c>
      <c r="C638" s="12" t="b" cm="1">
        <f t="array" ref="C638">ROUND(INDEX(FinancialData[Gross Sales],A638)-INDEX(FinancialData[Discounts],A638),2)=ROUND(INDEX(FinancialData[ [ Sales] ],A638),2)</f>
        <v>1</v>
      </c>
      <c r="D638" t="b" cm="1">
        <f t="array" ref="D638">ROUND(INDEX(FinancialData[ [ Sales] ],A638)-INDEX(FinancialData[COGS],A638),2)=ROUND(INDEX(FinancialData[Profit],A638),2)</f>
        <v>1</v>
      </c>
    </row>
    <row r="639" spans="1:4" x14ac:dyDescent="0.3">
      <c r="A639">
        <v>638</v>
      </c>
      <c r="B639" t="b">
        <f>ROUND(INDEX(FinancialData[Units Sold],1)*INDEX(FinancialData[Sale Price],1),2)=ROUND(INDEX(FinancialData[Gross Sales],1),2)</f>
        <v>1</v>
      </c>
      <c r="C639" s="12" t="b" cm="1">
        <f t="array" ref="C639">ROUND(INDEX(FinancialData[Gross Sales],A639)-INDEX(FinancialData[Discounts],A639),2)=ROUND(INDEX(FinancialData[ [ Sales] ],A639),2)</f>
        <v>1</v>
      </c>
      <c r="D639" t="b" cm="1">
        <f t="array" ref="D639">ROUND(INDEX(FinancialData[ [ Sales] ],A639)-INDEX(FinancialData[COGS],A639),2)=ROUND(INDEX(FinancialData[Profit],A639),2)</f>
        <v>1</v>
      </c>
    </row>
    <row r="640" spans="1:4" x14ac:dyDescent="0.3">
      <c r="A640">
        <v>639</v>
      </c>
      <c r="B640" t="b">
        <f>ROUND(INDEX(FinancialData[Units Sold],1)*INDEX(FinancialData[Sale Price],1),2)=ROUND(INDEX(FinancialData[Gross Sales],1),2)</f>
        <v>1</v>
      </c>
      <c r="C640" s="12" t="b" cm="1">
        <f t="array" ref="C640">ROUND(INDEX(FinancialData[Gross Sales],A640)-INDEX(FinancialData[Discounts],A640),2)=ROUND(INDEX(FinancialData[ [ Sales] ],A640),2)</f>
        <v>1</v>
      </c>
      <c r="D640" t="b" cm="1">
        <f t="array" ref="D640">ROUND(INDEX(FinancialData[ [ Sales] ],A640)-INDEX(FinancialData[COGS],A640),2)=ROUND(INDEX(FinancialData[Profit],A640),2)</f>
        <v>1</v>
      </c>
    </row>
    <row r="641" spans="1:4" x14ac:dyDescent="0.3">
      <c r="A641">
        <v>640</v>
      </c>
      <c r="B641" t="b">
        <f>ROUND(INDEX(FinancialData[Units Sold],1)*INDEX(FinancialData[Sale Price],1),2)=ROUND(INDEX(FinancialData[Gross Sales],1),2)</f>
        <v>1</v>
      </c>
      <c r="C641" s="12" t="b" cm="1">
        <f t="array" ref="C641">ROUND(INDEX(FinancialData[Gross Sales],A641)-INDEX(FinancialData[Discounts],A641),2)=ROUND(INDEX(FinancialData[ [ Sales] ],A641),2)</f>
        <v>1</v>
      </c>
      <c r="D641" t="b" cm="1">
        <f t="array" ref="D641">ROUND(INDEX(FinancialData[ [ Sales] ],A641)-INDEX(FinancialData[COGS],A641),2)=ROUND(INDEX(FinancialData[Profit],A641),2)</f>
        <v>1</v>
      </c>
    </row>
    <row r="642" spans="1:4" x14ac:dyDescent="0.3">
      <c r="A642">
        <v>641</v>
      </c>
      <c r="B642" t="b">
        <f>ROUND(INDEX(FinancialData[Units Sold],1)*INDEX(FinancialData[Sale Price],1),2)=ROUND(INDEX(FinancialData[Gross Sales],1),2)</f>
        <v>1</v>
      </c>
      <c r="C642" s="12" t="b" cm="1">
        <f t="array" ref="C642">ROUND(INDEX(FinancialData[Gross Sales],A642)-INDEX(FinancialData[Discounts],A642),2)=ROUND(INDEX(FinancialData[ [ Sales] ],A642),2)</f>
        <v>1</v>
      </c>
      <c r="D642" t="b" cm="1">
        <f t="array" ref="D642">ROUND(INDEX(FinancialData[ [ Sales] ],A642)-INDEX(FinancialData[COGS],A642),2)=ROUND(INDEX(FinancialData[Profit],A642),2)</f>
        <v>1</v>
      </c>
    </row>
    <row r="643" spans="1:4" x14ac:dyDescent="0.3">
      <c r="A643">
        <v>642</v>
      </c>
      <c r="B643" t="b">
        <f>ROUND(INDEX(FinancialData[Units Sold],1)*INDEX(FinancialData[Sale Price],1),2)=ROUND(INDEX(FinancialData[Gross Sales],1),2)</f>
        <v>1</v>
      </c>
      <c r="C643" s="12" t="b" cm="1">
        <f t="array" ref="C643">ROUND(INDEX(FinancialData[Gross Sales],A643)-INDEX(FinancialData[Discounts],A643),2)=ROUND(INDEX(FinancialData[ [ Sales] ],A643),2)</f>
        <v>1</v>
      </c>
      <c r="D643" t="b" cm="1">
        <f t="array" ref="D643">ROUND(INDEX(FinancialData[ [ Sales] ],A643)-INDEX(FinancialData[COGS],A643),2)=ROUND(INDEX(FinancialData[Profit],A643),2)</f>
        <v>1</v>
      </c>
    </row>
    <row r="644" spans="1:4" x14ac:dyDescent="0.3">
      <c r="A644">
        <v>643</v>
      </c>
      <c r="B644" t="b">
        <f>ROUND(INDEX(FinancialData[Units Sold],1)*INDEX(FinancialData[Sale Price],1),2)=ROUND(INDEX(FinancialData[Gross Sales],1),2)</f>
        <v>1</v>
      </c>
      <c r="C644" s="12" t="b" cm="1">
        <f t="array" ref="C644">ROUND(INDEX(FinancialData[Gross Sales],A644)-INDEX(FinancialData[Discounts],A644),2)=ROUND(INDEX(FinancialData[ [ Sales] ],A644),2)</f>
        <v>1</v>
      </c>
      <c r="D644" t="b" cm="1">
        <f t="array" ref="D644">ROUND(INDEX(FinancialData[ [ Sales] ],A644)-INDEX(FinancialData[COGS],A644),2)=ROUND(INDEX(FinancialData[Profit],A644),2)</f>
        <v>1</v>
      </c>
    </row>
    <row r="645" spans="1:4" x14ac:dyDescent="0.3">
      <c r="A645">
        <v>644</v>
      </c>
      <c r="B645" t="b">
        <f>ROUND(INDEX(FinancialData[Units Sold],1)*INDEX(FinancialData[Sale Price],1),2)=ROUND(INDEX(FinancialData[Gross Sales],1),2)</f>
        <v>1</v>
      </c>
      <c r="C645" s="12" t="b" cm="1">
        <f t="array" ref="C645">ROUND(INDEX(FinancialData[Gross Sales],A645)-INDEX(FinancialData[Discounts],A645),2)=ROUND(INDEX(FinancialData[ [ Sales] ],A645),2)</f>
        <v>1</v>
      </c>
      <c r="D645" t="b" cm="1">
        <f t="array" ref="D645">ROUND(INDEX(FinancialData[ [ Sales] ],A645)-INDEX(FinancialData[COGS],A645),2)=ROUND(INDEX(FinancialData[Profit],A645),2)</f>
        <v>1</v>
      </c>
    </row>
    <row r="646" spans="1:4" x14ac:dyDescent="0.3">
      <c r="A646">
        <v>645</v>
      </c>
      <c r="B646" t="b">
        <f>ROUND(INDEX(FinancialData[Units Sold],1)*INDEX(FinancialData[Sale Price],1),2)=ROUND(INDEX(FinancialData[Gross Sales],1),2)</f>
        <v>1</v>
      </c>
      <c r="C646" s="12" t="b" cm="1">
        <f t="array" ref="C646">ROUND(INDEX(FinancialData[Gross Sales],A646)-INDEX(FinancialData[Discounts],A646),2)=ROUND(INDEX(FinancialData[ [ Sales] ],A646),2)</f>
        <v>1</v>
      </c>
      <c r="D646" t="b" cm="1">
        <f t="array" ref="D646">ROUND(INDEX(FinancialData[ [ Sales] ],A646)-INDEX(FinancialData[COGS],A646),2)=ROUND(INDEX(FinancialData[Profit],A646),2)</f>
        <v>1</v>
      </c>
    </row>
    <row r="647" spans="1:4" x14ac:dyDescent="0.3">
      <c r="A647">
        <v>646</v>
      </c>
      <c r="B647" t="b">
        <f>ROUND(INDEX(FinancialData[Units Sold],1)*INDEX(FinancialData[Sale Price],1),2)=ROUND(INDEX(FinancialData[Gross Sales],1),2)</f>
        <v>1</v>
      </c>
      <c r="C647" s="12" t="b" cm="1">
        <f t="array" ref="C647">ROUND(INDEX(FinancialData[Gross Sales],A647)-INDEX(FinancialData[Discounts],A647),2)=ROUND(INDEX(FinancialData[ [ Sales] ],A647),2)</f>
        <v>1</v>
      </c>
      <c r="D647" t="b" cm="1">
        <f t="array" ref="D647">ROUND(INDEX(FinancialData[ [ Sales] ],A647)-INDEX(FinancialData[COGS],A647),2)=ROUND(INDEX(FinancialData[Profit],A647),2)</f>
        <v>1</v>
      </c>
    </row>
    <row r="648" spans="1:4" x14ac:dyDescent="0.3">
      <c r="A648">
        <v>647</v>
      </c>
      <c r="B648" t="b">
        <f>ROUND(INDEX(FinancialData[Units Sold],1)*INDEX(FinancialData[Sale Price],1),2)=ROUND(INDEX(FinancialData[Gross Sales],1),2)</f>
        <v>1</v>
      </c>
      <c r="C648" s="12" t="b" cm="1">
        <f t="array" ref="C648">ROUND(INDEX(FinancialData[Gross Sales],A648)-INDEX(FinancialData[Discounts],A648),2)=ROUND(INDEX(FinancialData[ [ Sales] ],A648),2)</f>
        <v>1</v>
      </c>
      <c r="D648" t="b" cm="1">
        <f t="array" ref="D648">ROUND(INDEX(FinancialData[ [ Sales] ],A648)-INDEX(FinancialData[COGS],A648),2)=ROUND(INDEX(FinancialData[Profit],A648),2)</f>
        <v>1</v>
      </c>
    </row>
    <row r="649" spans="1:4" x14ac:dyDescent="0.3">
      <c r="A649">
        <v>648</v>
      </c>
      <c r="B649" t="b">
        <f>ROUND(INDEX(FinancialData[Units Sold],1)*INDEX(FinancialData[Sale Price],1),2)=ROUND(INDEX(FinancialData[Gross Sales],1),2)</f>
        <v>1</v>
      </c>
      <c r="C649" s="12" t="b" cm="1">
        <f t="array" ref="C649">ROUND(INDEX(FinancialData[Gross Sales],A649)-INDEX(FinancialData[Discounts],A649),2)=ROUND(INDEX(FinancialData[ [ Sales] ],A649),2)</f>
        <v>1</v>
      </c>
      <c r="D649" t="b" cm="1">
        <f t="array" ref="D649">ROUND(INDEX(FinancialData[ [ Sales] ],A649)-INDEX(FinancialData[COGS],A649),2)=ROUND(INDEX(FinancialData[Profit],A649),2)</f>
        <v>1</v>
      </c>
    </row>
    <row r="650" spans="1:4" x14ac:dyDescent="0.3">
      <c r="A650">
        <v>649</v>
      </c>
      <c r="B650" t="b">
        <f>ROUND(INDEX(FinancialData[Units Sold],1)*INDEX(FinancialData[Sale Price],1),2)=ROUND(INDEX(FinancialData[Gross Sales],1),2)</f>
        <v>1</v>
      </c>
      <c r="C650" s="12" t="b" cm="1">
        <f t="array" ref="C650">ROUND(INDEX(FinancialData[Gross Sales],A650)-INDEX(FinancialData[Discounts],A650),2)=ROUND(INDEX(FinancialData[ [ Sales] ],A650),2)</f>
        <v>1</v>
      </c>
      <c r="D650" t="b" cm="1">
        <f t="array" ref="D650">ROUND(INDEX(FinancialData[ [ Sales] ],A650)-INDEX(FinancialData[COGS],A650),2)=ROUND(INDEX(FinancialData[Profit],A650),2)</f>
        <v>1</v>
      </c>
    </row>
    <row r="651" spans="1:4" x14ac:dyDescent="0.3">
      <c r="A651">
        <v>650</v>
      </c>
      <c r="B651" t="b">
        <f>ROUND(INDEX(FinancialData[Units Sold],1)*INDEX(FinancialData[Sale Price],1),2)=ROUND(INDEX(FinancialData[Gross Sales],1),2)</f>
        <v>1</v>
      </c>
      <c r="C651" s="12" t="b" cm="1">
        <f t="array" ref="C651">ROUND(INDEX(FinancialData[Gross Sales],A651)-INDEX(FinancialData[Discounts],A651),2)=ROUND(INDEX(FinancialData[ [ Sales] ],A651),2)</f>
        <v>1</v>
      </c>
      <c r="D651" t="b" cm="1">
        <f t="array" ref="D651">ROUND(INDEX(FinancialData[ [ Sales] ],A651)-INDEX(FinancialData[COGS],A651),2)=ROUND(INDEX(FinancialData[Profit],A651),2)</f>
        <v>1</v>
      </c>
    </row>
    <row r="652" spans="1:4" x14ac:dyDescent="0.3">
      <c r="A652">
        <v>651</v>
      </c>
      <c r="B652" t="b">
        <f>ROUND(INDEX(FinancialData[Units Sold],1)*INDEX(FinancialData[Sale Price],1),2)=ROUND(INDEX(FinancialData[Gross Sales],1),2)</f>
        <v>1</v>
      </c>
      <c r="C652" s="12" t="b" cm="1">
        <f t="array" ref="C652">ROUND(INDEX(FinancialData[Gross Sales],A652)-INDEX(FinancialData[Discounts],A652),2)=ROUND(INDEX(FinancialData[ [ Sales] ],A652),2)</f>
        <v>1</v>
      </c>
      <c r="D652" t="b" cm="1">
        <f t="array" ref="D652">ROUND(INDEX(FinancialData[ [ Sales] ],A652)-INDEX(FinancialData[COGS],A652),2)=ROUND(INDEX(FinancialData[Profit],A652),2)</f>
        <v>1</v>
      </c>
    </row>
    <row r="653" spans="1:4" x14ac:dyDescent="0.3">
      <c r="A653">
        <v>652</v>
      </c>
      <c r="B653" t="b">
        <f>ROUND(INDEX(FinancialData[Units Sold],1)*INDEX(FinancialData[Sale Price],1),2)=ROUND(INDEX(FinancialData[Gross Sales],1),2)</f>
        <v>1</v>
      </c>
      <c r="C653" s="12" t="b" cm="1">
        <f t="array" ref="C653">ROUND(INDEX(FinancialData[Gross Sales],A653)-INDEX(FinancialData[Discounts],A653),2)=ROUND(INDEX(FinancialData[ [ Sales] ],A653),2)</f>
        <v>1</v>
      </c>
      <c r="D653" t="b" cm="1">
        <f t="array" ref="D653">ROUND(INDEX(FinancialData[ [ Sales] ],A653)-INDEX(FinancialData[COGS],A653),2)=ROUND(INDEX(FinancialData[Profit],A653),2)</f>
        <v>1</v>
      </c>
    </row>
    <row r="654" spans="1:4" x14ac:dyDescent="0.3">
      <c r="A654">
        <v>653</v>
      </c>
      <c r="B654" t="b">
        <f>ROUND(INDEX(FinancialData[Units Sold],1)*INDEX(FinancialData[Sale Price],1),2)=ROUND(INDEX(FinancialData[Gross Sales],1),2)</f>
        <v>1</v>
      </c>
      <c r="C654" s="12" t="b" cm="1">
        <f t="array" ref="C654">ROUND(INDEX(FinancialData[Gross Sales],A654)-INDEX(FinancialData[Discounts],A654),2)=ROUND(INDEX(FinancialData[ [ Sales] ],A654),2)</f>
        <v>1</v>
      </c>
      <c r="D654" t="b" cm="1">
        <f t="array" ref="D654">ROUND(INDEX(FinancialData[ [ Sales] ],A654)-INDEX(FinancialData[COGS],A654),2)=ROUND(INDEX(FinancialData[Profit],A654),2)</f>
        <v>1</v>
      </c>
    </row>
    <row r="655" spans="1:4" x14ac:dyDescent="0.3">
      <c r="A655">
        <v>654</v>
      </c>
      <c r="B655" t="b">
        <f>ROUND(INDEX(FinancialData[Units Sold],1)*INDEX(FinancialData[Sale Price],1),2)=ROUND(INDEX(FinancialData[Gross Sales],1),2)</f>
        <v>1</v>
      </c>
      <c r="C655" s="12" t="b" cm="1">
        <f t="array" ref="C655">ROUND(INDEX(FinancialData[Gross Sales],A655)-INDEX(FinancialData[Discounts],A655),2)=ROUND(INDEX(FinancialData[ [ Sales] ],A655),2)</f>
        <v>1</v>
      </c>
      <c r="D655" t="b" cm="1">
        <f t="array" ref="D655">ROUND(INDEX(FinancialData[ [ Sales] ],A655)-INDEX(FinancialData[COGS],A655),2)=ROUND(INDEX(FinancialData[Profit],A655),2)</f>
        <v>1</v>
      </c>
    </row>
    <row r="656" spans="1:4" x14ac:dyDescent="0.3">
      <c r="A656">
        <v>655</v>
      </c>
      <c r="B656" t="b">
        <f>ROUND(INDEX(FinancialData[Units Sold],1)*INDEX(FinancialData[Sale Price],1),2)=ROUND(INDEX(FinancialData[Gross Sales],1),2)</f>
        <v>1</v>
      </c>
      <c r="C656" s="12" t="b" cm="1">
        <f t="array" ref="C656">ROUND(INDEX(FinancialData[Gross Sales],A656)-INDEX(FinancialData[Discounts],A656),2)=ROUND(INDEX(FinancialData[ [ Sales] ],A656),2)</f>
        <v>1</v>
      </c>
      <c r="D656" t="b" cm="1">
        <f t="array" ref="D656">ROUND(INDEX(FinancialData[ [ Sales] ],A656)-INDEX(FinancialData[COGS],A656),2)=ROUND(INDEX(FinancialData[Profit],A656),2)</f>
        <v>1</v>
      </c>
    </row>
    <row r="657" spans="1:4" x14ac:dyDescent="0.3">
      <c r="A657">
        <v>656</v>
      </c>
      <c r="B657" t="b">
        <f>ROUND(INDEX(FinancialData[Units Sold],1)*INDEX(FinancialData[Sale Price],1),2)=ROUND(INDEX(FinancialData[Gross Sales],1),2)</f>
        <v>1</v>
      </c>
      <c r="C657" s="12" t="b" cm="1">
        <f t="array" ref="C657">ROUND(INDEX(FinancialData[Gross Sales],A657)-INDEX(FinancialData[Discounts],A657),2)=ROUND(INDEX(FinancialData[ [ Sales] ],A657),2)</f>
        <v>1</v>
      </c>
      <c r="D657" t="b" cm="1">
        <f t="array" ref="D657">ROUND(INDEX(FinancialData[ [ Sales] ],A657)-INDEX(FinancialData[COGS],A657),2)=ROUND(INDEX(FinancialData[Profit],A657),2)</f>
        <v>1</v>
      </c>
    </row>
    <row r="658" spans="1:4" x14ac:dyDescent="0.3">
      <c r="A658">
        <v>657</v>
      </c>
      <c r="B658" t="b">
        <f>ROUND(INDEX(FinancialData[Units Sold],1)*INDEX(FinancialData[Sale Price],1),2)=ROUND(INDEX(FinancialData[Gross Sales],1),2)</f>
        <v>1</v>
      </c>
      <c r="C658" s="12" t="b" cm="1">
        <f t="array" ref="C658">ROUND(INDEX(FinancialData[Gross Sales],A658)-INDEX(FinancialData[Discounts],A658),2)=ROUND(INDEX(FinancialData[ [ Sales] ],A658),2)</f>
        <v>1</v>
      </c>
      <c r="D658" t="b" cm="1">
        <f t="array" ref="D658">ROUND(INDEX(FinancialData[ [ Sales] ],A658)-INDEX(FinancialData[COGS],A658),2)=ROUND(INDEX(FinancialData[Profit],A658),2)</f>
        <v>1</v>
      </c>
    </row>
    <row r="659" spans="1:4" x14ac:dyDescent="0.3">
      <c r="A659">
        <v>658</v>
      </c>
      <c r="B659" t="b">
        <f>ROUND(INDEX(FinancialData[Units Sold],1)*INDEX(FinancialData[Sale Price],1),2)=ROUND(INDEX(FinancialData[Gross Sales],1),2)</f>
        <v>1</v>
      </c>
      <c r="C659" s="12" t="b" cm="1">
        <f t="array" ref="C659">ROUND(INDEX(FinancialData[Gross Sales],A659)-INDEX(FinancialData[Discounts],A659),2)=ROUND(INDEX(FinancialData[ [ Sales] ],A659),2)</f>
        <v>1</v>
      </c>
      <c r="D659" t="b" cm="1">
        <f t="array" ref="D659">ROUND(INDEX(FinancialData[ [ Sales] ],A659)-INDEX(FinancialData[COGS],A659),2)=ROUND(INDEX(FinancialData[Profit],A659),2)</f>
        <v>1</v>
      </c>
    </row>
    <row r="660" spans="1:4" x14ac:dyDescent="0.3">
      <c r="A660">
        <v>659</v>
      </c>
      <c r="B660" t="b">
        <f>ROUND(INDEX(FinancialData[Units Sold],1)*INDEX(FinancialData[Sale Price],1),2)=ROUND(INDEX(FinancialData[Gross Sales],1),2)</f>
        <v>1</v>
      </c>
      <c r="C660" s="12" t="b" cm="1">
        <f t="array" ref="C660">ROUND(INDEX(FinancialData[Gross Sales],A660)-INDEX(FinancialData[Discounts],A660),2)=ROUND(INDEX(FinancialData[ [ Sales] ],A660),2)</f>
        <v>1</v>
      </c>
      <c r="D660" t="b" cm="1">
        <f t="array" ref="D660">ROUND(INDEX(FinancialData[ [ Sales] ],A660)-INDEX(FinancialData[COGS],A660),2)=ROUND(INDEX(FinancialData[Profit],A660),2)</f>
        <v>1</v>
      </c>
    </row>
    <row r="661" spans="1:4" x14ac:dyDescent="0.3">
      <c r="A661">
        <v>660</v>
      </c>
      <c r="B661" t="b">
        <f>ROUND(INDEX(FinancialData[Units Sold],1)*INDEX(FinancialData[Sale Price],1),2)=ROUND(INDEX(FinancialData[Gross Sales],1),2)</f>
        <v>1</v>
      </c>
      <c r="C661" s="12" t="b" cm="1">
        <f t="array" ref="C661">ROUND(INDEX(FinancialData[Gross Sales],A661)-INDEX(FinancialData[Discounts],A661),2)=ROUND(INDEX(FinancialData[ [ Sales] ],A661),2)</f>
        <v>1</v>
      </c>
      <c r="D661" t="b" cm="1">
        <f t="array" ref="D661">ROUND(INDEX(FinancialData[ [ Sales] ],A661)-INDEX(FinancialData[COGS],A661),2)=ROUND(INDEX(FinancialData[Profit],A661),2)</f>
        <v>1</v>
      </c>
    </row>
    <row r="662" spans="1:4" x14ac:dyDescent="0.3">
      <c r="A662">
        <v>661</v>
      </c>
      <c r="B662" t="b">
        <f>ROUND(INDEX(FinancialData[Units Sold],1)*INDEX(FinancialData[Sale Price],1),2)=ROUND(INDEX(FinancialData[Gross Sales],1),2)</f>
        <v>1</v>
      </c>
      <c r="C662" s="12" t="b" cm="1">
        <f t="array" ref="C662">ROUND(INDEX(FinancialData[Gross Sales],A662)-INDEX(FinancialData[Discounts],A662),2)=ROUND(INDEX(FinancialData[ [ Sales] ],A662),2)</f>
        <v>1</v>
      </c>
      <c r="D662" t="b" cm="1">
        <f t="array" ref="D662">ROUND(INDEX(FinancialData[ [ Sales] ],A662)-INDEX(FinancialData[COGS],A662),2)=ROUND(INDEX(FinancialData[Profit],A662),2)</f>
        <v>1</v>
      </c>
    </row>
    <row r="663" spans="1:4" x14ac:dyDescent="0.3">
      <c r="A663">
        <v>662</v>
      </c>
      <c r="B663" t="b">
        <f>ROUND(INDEX(FinancialData[Units Sold],1)*INDEX(FinancialData[Sale Price],1),2)=ROUND(INDEX(FinancialData[Gross Sales],1),2)</f>
        <v>1</v>
      </c>
      <c r="C663" s="12" t="b" cm="1">
        <f t="array" ref="C663">ROUND(INDEX(FinancialData[Gross Sales],A663)-INDEX(FinancialData[Discounts],A663),2)=ROUND(INDEX(FinancialData[ [ Sales] ],A663),2)</f>
        <v>1</v>
      </c>
      <c r="D663" t="b" cm="1">
        <f t="array" ref="D663">ROUND(INDEX(FinancialData[ [ Sales] ],A663)-INDEX(FinancialData[COGS],A663),2)=ROUND(INDEX(FinancialData[Profit],A663),2)</f>
        <v>1</v>
      </c>
    </row>
    <row r="664" spans="1:4" x14ac:dyDescent="0.3">
      <c r="A664">
        <v>663</v>
      </c>
      <c r="B664" t="b">
        <f>ROUND(INDEX(FinancialData[Units Sold],1)*INDEX(FinancialData[Sale Price],1),2)=ROUND(INDEX(FinancialData[Gross Sales],1),2)</f>
        <v>1</v>
      </c>
      <c r="C664" s="12" t="b" cm="1">
        <f t="array" ref="C664">ROUND(INDEX(FinancialData[Gross Sales],A664)-INDEX(FinancialData[Discounts],A664),2)=ROUND(INDEX(FinancialData[ [ Sales] ],A664),2)</f>
        <v>1</v>
      </c>
      <c r="D664" t="b" cm="1">
        <f t="array" ref="D664">ROUND(INDEX(FinancialData[ [ Sales] ],A664)-INDEX(FinancialData[COGS],A664),2)=ROUND(INDEX(FinancialData[Profit],A664),2)</f>
        <v>1</v>
      </c>
    </row>
    <row r="665" spans="1:4" x14ac:dyDescent="0.3">
      <c r="A665">
        <v>664</v>
      </c>
      <c r="B665" t="b">
        <f>ROUND(INDEX(FinancialData[Units Sold],1)*INDEX(FinancialData[Sale Price],1),2)=ROUND(INDEX(FinancialData[Gross Sales],1),2)</f>
        <v>1</v>
      </c>
      <c r="C665" s="12" t="b" cm="1">
        <f t="array" ref="C665">ROUND(INDEX(FinancialData[Gross Sales],A665)-INDEX(FinancialData[Discounts],A665),2)=ROUND(INDEX(FinancialData[ [ Sales] ],A665),2)</f>
        <v>1</v>
      </c>
      <c r="D665" t="b" cm="1">
        <f t="array" ref="D665">ROUND(INDEX(FinancialData[ [ Sales] ],A665)-INDEX(FinancialData[COGS],A665),2)=ROUND(INDEX(FinancialData[Profit],A665),2)</f>
        <v>1</v>
      </c>
    </row>
    <row r="666" spans="1:4" x14ac:dyDescent="0.3">
      <c r="A666">
        <v>665</v>
      </c>
      <c r="B666" t="b">
        <f>ROUND(INDEX(FinancialData[Units Sold],1)*INDEX(FinancialData[Sale Price],1),2)=ROUND(INDEX(FinancialData[Gross Sales],1),2)</f>
        <v>1</v>
      </c>
      <c r="C666" s="12" t="b" cm="1">
        <f t="array" ref="C666">ROUND(INDEX(FinancialData[Gross Sales],A666)-INDEX(FinancialData[Discounts],A666),2)=ROUND(INDEX(FinancialData[ [ Sales] ],A666),2)</f>
        <v>1</v>
      </c>
      <c r="D666" t="b" cm="1">
        <f t="array" ref="D666">ROUND(INDEX(FinancialData[ [ Sales] ],A666)-INDEX(FinancialData[COGS],A666),2)=ROUND(INDEX(FinancialData[Profit],A666),2)</f>
        <v>1</v>
      </c>
    </row>
    <row r="667" spans="1:4" x14ac:dyDescent="0.3">
      <c r="A667">
        <v>666</v>
      </c>
      <c r="B667" t="b">
        <f>ROUND(INDEX(FinancialData[Units Sold],1)*INDEX(FinancialData[Sale Price],1),2)=ROUND(INDEX(FinancialData[Gross Sales],1),2)</f>
        <v>1</v>
      </c>
      <c r="C667" s="12" t="b" cm="1">
        <f t="array" ref="C667">ROUND(INDEX(FinancialData[Gross Sales],A667)-INDEX(FinancialData[Discounts],A667),2)=ROUND(INDEX(FinancialData[ [ Sales] ],A667),2)</f>
        <v>1</v>
      </c>
      <c r="D667" t="b" cm="1">
        <f t="array" ref="D667">ROUND(INDEX(FinancialData[ [ Sales] ],A667)-INDEX(FinancialData[COGS],A667),2)=ROUND(INDEX(FinancialData[Profit],A667),2)</f>
        <v>1</v>
      </c>
    </row>
    <row r="668" spans="1:4" x14ac:dyDescent="0.3">
      <c r="A668">
        <v>667</v>
      </c>
      <c r="B668" t="b">
        <f>ROUND(INDEX(FinancialData[Units Sold],1)*INDEX(FinancialData[Sale Price],1),2)=ROUND(INDEX(FinancialData[Gross Sales],1),2)</f>
        <v>1</v>
      </c>
      <c r="C668" s="12" t="b" cm="1">
        <f t="array" ref="C668">ROUND(INDEX(FinancialData[Gross Sales],A668)-INDEX(FinancialData[Discounts],A668),2)=ROUND(INDEX(FinancialData[ [ Sales] ],A668),2)</f>
        <v>1</v>
      </c>
      <c r="D668" t="b" cm="1">
        <f t="array" ref="D668">ROUND(INDEX(FinancialData[ [ Sales] ],A668)-INDEX(FinancialData[COGS],A668),2)=ROUND(INDEX(FinancialData[Profit],A668),2)</f>
        <v>1</v>
      </c>
    </row>
    <row r="669" spans="1:4" x14ac:dyDescent="0.3">
      <c r="A669">
        <v>668</v>
      </c>
      <c r="B669" t="b">
        <f>ROUND(INDEX(FinancialData[Units Sold],1)*INDEX(FinancialData[Sale Price],1),2)=ROUND(INDEX(FinancialData[Gross Sales],1),2)</f>
        <v>1</v>
      </c>
      <c r="C669" s="12" t="b" cm="1">
        <f t="array" ref="C669">ROUND(INDEX(FinancialData[Gross Sales],A669)-INDEX(FinancialData[Discounts],A669),2)=ROUND(INDEX(FinancialData[ [ Sales] ],A669),2)</f>
        <v>1</v>
      </c>
      <c r="D669" t="b" cm="1">
        <f t="array" ref="D669">ROUND(INDEX(FinancialData[ [ Sales] ],A669)-INDEX(FinancialData[COGS],A669),2)=ROUND(INDEX(FinancialData[Profit],A669),2)</f>
        <v>1</v>
      </c>
    </row>
    <row r="670" spans="1:4" x14ac:dyDescent="0.3">
      <c r="A670">
        <v>669</v>
      </c>
      <c r="B670" t="b">
        <f>ROUND(INDEX(FinancialData[Units Sold],1)*INDEX(FinancialData[Sale Price],1),2)=ROUND(INDEX(FinancialData[Gross Sales],1),2)</f>
        <v>1</v>
      </c>
      <c r="C670" s="12" t="b" cm="1">
        <f t="array" ref="C670">ROUND(INDEX(FinancialData[Gross Sales],A670)-INDEX(FinancialData[Discounts],A670),2)=ROUND(INDEX(FinancialData[ [ Sales] ],A670),2)</f>
        <v>1</v>
      </c>
      <c r="D670" t="b" cm="1">
        <f t="array" ref="D670">ROUND(INDEX(FinancialData[ [ Sales] ],A670)-INDEX(FinancialData[COGS],A670),2)=ROUND(INDEX(FinancialData[Profit],A670),2)</f>
        <v>1</v>
      </c>
    </row>
    <row r="671" spans="1:4" x14ac:dyDescent="0.3">
      <c r="A671">
        <v>670</v>
      </c>
      <c r="B671" t="b">
        <f>ROUND(INDEX(FinancialData[Units Sold],1)*INDEX(FinancialData[Sale Price],1),2)=ROUND(INDEX(FinancialData[Gross Sales],1),2)</f>
        <v>1</v>
      </c>
      <c r="C671" s="12" t="b" cm="1">
        <f t="array" ref="C671">ROUND(INDEX(FinancialData[Gross Sales],A671)-INDEX(FinancialData[Discounts],A671),2)=ROUND(INDEX(FinancialData[ [ Sales] ],A671),2)</f>
        <v>1</v>
      </c>
      <c r="D671" t="b" cm="1">
        <f t="array" ref="D671">ROUND(INDEX(FinancialData[ [ Sales] ],A671)-INDEX(FinancialData[COGS],A671),2)=ROUND(INDEX(FinancialData[Profit],A671),2)</f>
        <v>1</v>
      </c>
    </row>
    <row r="672" spans="1:4" x14ac:dyDescent="0.3">
      <c r="A672">
        <v>671</v>
      </c>
      <c r="B672" t="b">
        <f>ROUND(INDEX(FinancialData[Units Sold],1)*INDEX(FinancialData[Sale Price],1),2)=ROUND(INDEX(FinancialData[Gross Sales],1),2)</f>
        <v>1</v>
      </c>
      <c r="C672" s="12" t="b" cm="1">
        <f t="array" ref="C672">ROUND(INDEX(FinancialData[Gross Sales],A672)-INDEX(FinancialData[Discounts],A672),2)=ROUND(INDEX(FinancialData[ [ Sales] ],A672),2)</f>
        <v>1</v>
      </c>
      <c r="D672" t="b" cm="1">
        <f t="array" ref="D672">ROUND(INDEX(FinancialData[ [ Sales] ],A672)-INDEX(FinancialData[COGS],A672),2)=ROUND(INDEX(FinancialData[Profit],A672),2)</f>
        <v>1</v>
      </c>
    </row>
    <row r="673" spans="1:4" x14ac:dyDescent="0.3">
      <c r="A673">
        <v>672</v>
      </c>
      <c r="B673" t="b">
        <f>ROUND(INDEX(FinancialData[Units Sold],1)*INDEX(FinancialData[Sale Price],1),2)=ROUND(INDEX(FinancialData[Gross Sales],1),2)</f>
        <v>1</v>
      </c>
      <c r="C673" s="12" t="b" cm="1">
        <f t="array" ref="C673">ROUND(INDEX(FinancialData[Gross Sales],A673)-INDEX(FinancialData[Discounts],A673),2)=ROUND(INDEX(FinancialData[ [ Sales] ],A673),2)</f>
        <v>1</v>
      </c>
      <c r="D673" t="b" cm="1">
        <f t="array" ref="D673">ROUND(INDEX(FinancialData[ [ Sales] ],A673)-INDEX(FinancialData[COGS],A673),2)=ROUND(INDEX(FinancialData[Profit],A673),2)</f>
        <v>1</v>
      </c>
    </row>
    <row r="674" spans="1:4" x14ac:dyDescent="0.3">
      <c r="A674">
        <v>673</v>
      </c>
      <c r="B674" t="b">
        <f>ROUND(INDEX(FinancialData[Units Sold],1)*INDEX(FinancialData[Sale Price],1),2)=ROUND(INDEX(FinancialData[Gross Sales],1),2)</f>
        <v>1</v>
      </c>
      <c r="C674" s="12" t="b" cm="1">
        <f t="array" ref="C674">ROUND(INDEX(FinancialData[Gross Sales],A674)-INDEX(FinancialData[Discounts],A674),2)=ROUND(INDEX(FinancialData[ [ Sales] ],A674),2)</f>
        <v>1</v>
      </c>
      <c r="D674" t="b" cm="1">
        <f t="array" ref="D674">ROUND(INDEX(FinancialData[ [ Sales] ],A674)-INDEX(FinancialData[COGS],A674),2)=ROUND(INDEX(FinancialData[Profit],A674),2)</f>
        <v>1</v>
      </c>
    </row>
    <row r="675" spans="1:4" x14ac:dyDescent="0.3">
      <c r="A675">
        <v>674</v>
      </c>
      <c r="B675" t="b">
        <f>ROUND(INDEX(FinancialData[Units Sold],1)*INDEX(FinancialData[Sale Price],1),2)=ROUND(INDEX(FinancialData[Gross Sales],1),2)</f>
        <v>1</v>
      </c>
      <c r="C675" s="12" t="b" cm="1">
        <f t="array" ref="C675">ROUND(INDEX(FinancialData[Gross Sales],A675)-INDEX(FinancialData[Discounts],A675),2)=ROUND(INDEX(FinancialData[ [ Sales] ],A675),2)</f>
        <v>1</v>
      </c>
      <c r="D675" t="b" cm="1">
        <f t="array" ref="D675">ROUND(INDEX(FinancialData[ [ Sales] ],A675)-INDEX(FinancialData[COGS],A675),2)=ROUND(INDEX(FinancialData[Profit],A675),2)</f>
        <v>1</v>
      </c>
    </row>
    <row r="676" spans="1:4" x14ac:dyDescent="0.3">
      <c r="A676">
        <v>675</v>
      </c>
      <c r="B676" t="b">
        <f>ROUND(INDEX(FinancialData[Units Sold],1)*INDEX(FinancialData[Sale Price],1),2)=ROUND(INDEX(FinancialData[Gross Sales],1),2)</f>
        <v>1</v>
      </c>
      <c r="C676" s="12" t="b" cm="1">
        <f t="array" ref="C676">ROUND(INDEX(FinancialData[Gross Sales],A676)-INDEX(FinancialData[Discounts],A676),2)=ROUND(INDEX(FinancialData[ [ Sales] ],A676),2)</f>
        <v>1</v>
      </c>
      <c r="D676" t="b" cm="1">
        <f t="array" ref="D676">ROUND(INDEX(FinancialData[ [ Sales] ],A676)-INDEX(FinancialData[COGS],A676),2)=ROUND(INDEX(FinancialData[Profit],A676),2)</f>
        <v>1</v>
      </c>
    </row>
    <row r="677" spans="1:4" x14ac:dyDescent="0.3">
      <c r="A677">
        <v>676</v>
      </c>
      <c r="B677" t="b">
        <f>ROUND(INDEX(FinancialData[Units Sold],1)*INDEX(FinancialData[Sale Price],1),2)=ROUND(INDEX(FinancialData[Gross Sales],1),2)</f>
        <v>1</v>
      </c>
      <c r="C677" s="12" t="b" cm="1">
        <f t="array" ref="C677">ROUND(INDEX(FinancialData[Gross Sales],A677)-INDEX(FinancialData[Discounts],A677),2)=ROUND(INDEX(FinancialData[ [ Sales] ],A677),2)</f>
        <v>1</v>
      </c>
      <c r="D677" t="b" cm="1">
        <f t="array" ref="D677">ROUND(INDEX(FinancialData[ [ Sales] ],A677)-INDEX(FinancialData[COGS],A677),2)=ROUND(INDEX(FinancialData[Profit],A677),2)</f>
        <v>1</v>
      </c>
    </row>
    <row r="678" spans="1:4" x14ac:dyDescent="0.3">
      <c r="A678">
        <v>677</v>
      </c>
      <c r="B678" t="b">
        <f>ROUND(INDEX(FinancialData[Units Sold],1)*INDEX(FinancialData[Sale Price],1),2)=ROUND(INDEX(FinancialData[Gross Sales],1),2)</f>
        <v>1</v>
      </c>
      <c r="C678" s="12" t="b" cm="1">
        <f t="array" ref="C678">ROUND(INDEX(FinancialData[Gross Sales],A678)-INDEX(FinancialData[Discounts],A678),2)=ROUND(INDEX(FinancialData[ [ Sales] ],A678),2)</f>
        <v>1</v>
      </c>
      <c r="D678" t="b" cm="1">
        <f t="array" ref="D678">ROUND(INDEX(FinancialData[ [ Sales] ],A678)-INDEX(FinancialData[COGS],A678),2)=ROUND(INDEX(FinancialData[Profit],A678),2)</f>
        <v>1</v>
      </c>
    </row>
    <row r="679" spans="1:4" x14ac:dyDescent="0.3">
      <c r="A679">
        <v>678</v>
      </c>
      <c r="B679" t="b">
        <f>ROUND(INDEX(FinancialData[Units Sold],1)*INDEX(FinancialData[Sale Price],1),2)=ROUND(INDEX(FinancialData[Gross Sales],1),2)</f>
        <v>1</v>
      </c>
      <c r="C679" s="12" t="b" cm="1">
        <f t="array" ref="C679">ROUND(INDEX(FinancialData[Gross Sales],A679)-INDEX(FinancialData[Discounts],A679),2)=ROUND(INDEX(FinancialData[ [ Sales] ],A679),2)</f>
        <v>1</v>
      </c>
      <c r="D679" t="b" cm="1">
        <f t="array" ref="D679">ROUND(INDEX(FinancialData[ [ Sales] ],A679)-INDEX(FinancialData[COGS],A679),2)=ROUND(INDEX(FinancialData[Profit],A679),2)</f>
        <v>1</v>
      </c>
    </row>
    <row r="680" spans="1:4" x14ac:dyDescent="0.3">
      <c r="A680">
        <v>679</v>
      </c>
      <c r="B680" t="b">
        <f>ROUND(INDEX(FinancialData[Units Sold],1)*INDEX(FinancialData[Sale Price],1),2)=ROUND(INDEX(FinancialData[Gross Sales],1),2)</f>
        <v>1</v>
      </c>
      <c r="C680" s="12" t="b" cm="1">
        <f t="array" ref="C680">ROUND(INDEX(FinancialData[Gross Sales],A680)-INDEX(FinancialData[Discounts],A680),2)=ROUND(INDEX(FinancialData[ [ Sales] ],A680),2)</f>
        <v>1</v>
      </c>
      <c r="D680" t="b" cm="1">
        <f t="array" ref="D680">ROUND(INDEX(FinancialData[ [ Sales] ],A680)-INDEX(FinancialData[COGS],A680),2)=ROUND(INDEX(FinancialData[Profit],A680),2)</f>
        <v>1</v>
      </c>
    </row>
    <row r="681" spans="1:4" x14ac:dyDescent="0.3">
      <c r="A681">
        <v>680</v>
      </c>
      <c r="B681" t="b">
        <f>ROUND(INDEX(FinancialData[Units Sold],1)*INDEX(FinancialData[Sale Price],1),2)=ROUND(INDEX(FinancialData[Gross Sales],1),2)</f>
        <v>1</v>
      </c>
      <c r="C681" s="12" t="b" cm="1">
        <f t="array" ref="C681">ROUND(INDEX(FinancialData[Gross Sales],A681)-INDEX(FinancialData[Discounts],A681),2)=ROUND(INDEX(FinancialData[ [ Sales] ],A681),2)</f>
        <v>1</v>
      </c>
      <c r="D681" t="b" cm="1">
        <f t="array" ref="D681">ROUND(INDEX(FinancialData[ [ Sales] ],A681)-INDEX(FinancialData[COGS],A681),2)=ROUND(INDEX(FinancialData[Profit],A681),2)</f>
        <v>1</v>
      </c>
    </row>
    <row r="682" spans="1:4" x14ac:dyDescent="0.3">
      <c r="A682">
        <v>681</v>
      </c>
      <c r="B682" t="b">
        <f>ROUND(INDEX(FinancialData[Units Sold],1)*INDEX(FinancialData[Sale Price],1),2)=ROUND(INDEX(FinancialData[Gross Sales],1),2)</f>
        <v>1</v>
      </c>
      <c r="C682" s="12" t="b" cm="1">
        <f t="array" ref="C682">ROUND(INDEX(FinancialData[Gross Sales],A682)-INDEX(FinancialData[Discounts],A682),2)=ROUND(INDEX(FinancialData[ [ Sales] ],A682),2)</f>
        <v>1</v>
      </c>
      <c r="D682" t="b" cm="1">
        <f t="array" ref="D682">ROUND(INDEX(FinancialData[ [ Sales] ],A682)-INDEX(FinancialData[COGS],A682),2)=ROUND(INDEX(FinancialData[Profit],A682),2)</f>
        <v>1</v>
      </c>
    </row>
    <row r="683" spans="1:4" x14ac:dyDescent="0.3">
      <c r="A683">
        <v>682</v>
      </c>
      <c r="B683" t="b">
        <f>ROUND(INDEX(FinancialData[Units Sold],1)*INDEX(FinancialData[Sale Price],1),2)=ROUND(INDEX(FinancialData[Gross Sales],1),2)</f>
        <v>1</v>
      </c>
      <c r="C683" s="12" t="b" cm="1">
        <f t="array" ref="C683">ROUND(INDEX(FinancialData[Gross Sales],A683)-INDEX(FinancialData[Discounts],A683),2)=ROUND(INDEX(FinancialData[ [ Sales] ],A683),2)</f>
        <v>1</v>
      </c>
      <c r="D683" t="b" cm="1">
        <f t="array" ref="D683">ROUND(INDEX(FinancialData[ [ Sales] ],A683)-INDEX(FinancialData[COGS],A683),2)=ROUND(INDEX(FinancialData[Profit],A683),2)</f>
        <v>1</v>
      </c>
    </row>
    <row r="684" spans="1:4" x14ac:dyDescent="0.3">
      <c r="A684">
        <v>683</v>
      </c>
      <c r="B684" t="b">
        <f>ROUND(INDEX(FinancialData[Units Sold],1)*INDEX(FinancialData[Sale Price],1),2)=ROUND(INDEX(FinancialData[Gross Sales],1),2)</f>
        <v>1</v>
      </c>
      <c r="C684" s="12" t="b" cm="1">
        <f t="array" ref="C684">ROUND(INDEX(FinancialData[Gross Sales],A684)-INDEX(FinancialData[Discounts],A684),2)=ROUND(INDEX(FinancialData[ [ Sales] ],A684),2)</f>
        <v>1</v>
      </c>
      <c r="D684" t="b" cm="1">
        <f t="array" ref="D684">ROUND(INDEX(FinancialData[ [ Sales] ],A684)-INDEX(FinancialData[COGS],A684),2)=ROUND(INDEX(FinancialData[Profit],A684),2)</f>
        <v>1</v>
      </c>
    </row>
    <row r="685" spans="1:4" x14ac:dyDescent="0.3">
      <c r="A685">
        <v>684</v>
      </c>
      <c r="B685" t="b">
        <f>ROUND(INDEX(FinancialData[Units Sold],1)*INDEX(FinancialData[Sale Price],1),2)=ROUND(INDEX(FinancialData[Gross Sales],1),2)</f>
        <v>1</v>
      </c>
      <c r="C685" s="12" t="b" cm="1">
        <f t="array" ref="C685">ROUND(INDEX(FinancialData[Gross Sales],A685)-INDEX(FinancialData[Discounts],A685),2)=ROUND(INDEX(FinancialData[ [ Sales] ],A685),2)</f>
        <v>1</v>
      </c>
      <c r="D685" t="b" cm="1">
        <f t="array" ref="D685">ROUND(INDEX(FinancialData[ [ Sales] ],A685)-INDEX(FinancialData[COGS],A685),2)=ROUND(INDEX(FinancialData[Profit],A685),2)</f>
        <v>1</v>
      </c>
    </row>
    <row r="686" spans="1:4" x14ac:dyDescent="0.3">
      <c r="A686">
        <v>685</v>
      </c>
      <c r="B686" t="b">
        <f>ROUND(INDEX(FinancialData[Units Sold],1)*INDEX(FinancialData[Sale Price],1),2)=ROUND(INDEX(FinancialData[Gross Sales],1),2)</f>
        <v>1</v>
      </c>
      <c r="C686" s="12" t="b" cm="1">
        <f t="array" ref="C686">ROUND(INDEX(FinancialData[Gross Sales],A686)-INDEX(FinancialData[Discounts],A686),2)=ROUND(INDEX(FinancialData[ [ Sales] ],A686),2)</f>
        <v>1</v>
      </c>
      <c r="D686" t="b" cm="1">
        <f t="array" ref="D686">ROUND(INDEX(FinancialData[ [ Sales] ],A686)-INDEX(FinancialData[COGS],A686),2)=ROUND(INDEX(FinancialData[Profit],A686),2)</f>
        <v>1</v>
      </c>
    </row>
    <row r="687" spans="1:4" x14ac:dyDescent="0.3">
      <c r="A687">
        <v>686</v>
      </c>
      <c r="B687" t="b">
        <f>ROUND(INDEX(FinancialData[Units Sold],1)*INDEX(FinancialData[Sale Price],1),2)=ROUND(INDEX(FinancialData[Gross Sales],1),2)</f>
        <v>1</v>
      </c>
      <c r="C687" s="12" t="b" cm="1">
        <f t="array" ref="C687">ROUND(INDEX(FinancialData[Gross Sales],A687)-INDEX(FinancialData[Discounts],A687),2)=ROUND(INDEX(FinancialData[ [ Sales] ],A687),2)</f>
        <v>1</v>
      </c>
      <c r="D687" t="b" cm="1">
        <f t="array" ref="D687">ROUND(INDEX(FinancialData[ [ Sales] ],A687)-INDEX(FinancialData[COGS],A687),2)=ROUND(INDEX(FinancialData[Profit],A687),2)</f>
        <v>1</v>
      </c>
    </row>
    <row r="688" spans="1:4" x14ac:dyDescent="0.3">
      <c r="A688">
        <v>687</v>
      </c>
      <c r="B688" t="b">
        <f>ROUND(INDEX(FinancialData[Units Sold],1)*INDEX(FinancialData[Sale Price],1),2)=ROUND(INDEX(FinancialData[Gross Sales],1),2)</f>
        <v>1</v>
      </c>
      <c r="C688" s="12" t="b" cm="1">
        <f t="array" ref="C688">ROUND(INDEX(FinancialData[Gross Sales],A688)-INDEX(FinancialData[Discounts],A688),2)=ROUND(INDEX(FinancialData[ [ Sales] ],A688),2)</f>
        <v>1</v>
      </c>
      <c r="D688" t="b" cm="1">
        <f t="array" ref="D688">ROUND(INDEX(FinancialData[ [ Sales] ],A688)-INDEX(FinancialData[COGS],A688),2)=ROUND(INDEX(FinancialData[Profit],A688),2)</f>
        <v>1</v>
      </c>
    </row>
    <row r="689" spans="1:4" x14ac:dyDescent="0.3">
      <c r="A689">
        <v>688</v>
      </c>
      <c r="B689" t="b">
        <f>ROUND(INDEX(FinancialData[Units Sold],1)*INDEX(FinancialData[Sale Price],1),2)=ROUND(INDEX(FinancialData[Gross Sales],1),2)</f>
        <v>1</v>
      </c>
      <c r="C689" s="12" t="b" cm="1">
        <f t="array" ref="C689">ROUND(INDEX(FinancialData[Gross Sales],A689)-INDEX(FinancialData[Discounts],A689),2)=ROUND(INDEX(FinancialData[ [ Sales] ],A689),2)</f>
        <v>1</v>
      </c>
      <c r="D689" t="b" cm="1">
        <f t="array" ref="D689">ROUND(INDEX(FinancialData[ [ Sales] ],A689)-INDEX(FinancialData[COGS],A689),2)=ROUND(INDEX(FinancialData[Profit],A689),2)</f>
        <v>1</v>
      </c>
    </row>
    <row r="690" spans="1:4" x14ac:dyDescent="0.3">
      <c r="A690">
        <v>689</v>
      </c>
      <c r="B690" t="b">
        <f>ROUND(INDEX(FinancialData[Units Sold],1)*INDEX(FinancialData[Sale Price],1),2)=ROUND(INDEX(FinancialData[Gross Sales],1),2)</f>
        <v>1</v>
      </c>
      <c r="C690" s="12" t="b" cm="1">
        <f t="array" ref="C690">ROUND(INDEX(FinancialData[Gross Sales],A690)-INDEX(FinancialData[Discounts],A690),2)=ROUND(INDEX(FinancialData[ [ Sales] ],A690),2)</f>
        <v>1</v>
      </c>
      <c r="D690" t="b" cm="1">
        <f t="array" ref="D690">ROUND(INDEX(FinancialData[ [ Sales] ],A690)-INDEX(FinancialData[COGS],A690),2)=ROUND(INDEX(FinancialData[Profit],A690),2)</f>
        <v>1</v>
      </c>
    </row>
    <row r="691" spans="1:4" x14ac:dyDescent="0.3">
      <c r="A691">
        <v>690</v>
      </c>
      <c r="B691" t="b">
        <f>ROUND(INDEX(FinancialData[Units Sold],1)*INDEX(FinancialData[Sale Price],1),2)=ROUND(INDEX(FinancialData[Gross Sales],1),2)</f>
        <v>1</v>
      </c>
      <c r="C691" s="12" t="b" cm="1">
        <f t="array" ref="C691">ROUND(INDEX(FinancialData[Gross Sales],A691)-INDEX(FinancialData[Discounts],A691),2)=ROUND(INDEX(FinancialData[ [ Sales] ],A691),2)</f>
        <v>1</v>
      </c>
      <c r="D691" t="b" cm="1">
        <f t="array" ref="D691">ROUND(INDEX(FinancialData[ [ Sales] ],A691)-INDEX(FinancialData[COGS],A691),2)=ROUND(INDEX(FinancialData[Profit],A691),2)</f>
        <v>1</v>
      </c>
    </row>
    <row r="692" spans="1:4" x14ac:dyDescent="0.3">
      <c r="A692">
        <v>691</v>
      </c>
      <c r="B692" t="b">
        <f>ROUND(INDEX(FinancialData[Units Sold],1)*INDEX(FinancialData[Sale Price],1),2)=ROUND(INDEX(FinancialData[Gross Sales],1),2)</f>
        <v>1</v>
      </c>
      <c r="C692" s="12" t="b" cm="1">
        <f t="array" ref="C692">ROUND(INDEX(FinancialData[Gross Sales],A692)-INDEX(FinancialData[Discounts],A692),2)=ROUND(INDEX(FinancialData[ [ Sales] ],A692),2)</f>
        <v>1</v>
      </c>
      <c r="D692" t="b" cm="1">
        <f t="array" ref="D692">ROUND(INDEX(FinancialData[ [ Sales] ],A692)-INDEX(FinancialData[COGS],A692),2)=ROUND(INDEX(FinancialData[Profit],A692),2)</f>
        <v>1</v>
      </c>
    </row>
    <row r="693" spans="1:4" x14ac:dyDescent="0.3">
      <c r="A693">
        <v>692</v>
      </c>
      <c r="B693" t="b">
        <f>ROUND(INDEX(FinancialData[Units Sold],1)*INDEX(FinancialData[Sale Price],1),2)=ROUND(INDEX(FinancialData[Gross Sales],1),2)</f>
        <v>1</v>
      </c>
      <c r="C693" s="12" t="b" cm="1">
        <f t="array" ref="C693">ROUND(INDEX(FinancialData[Gross Sales],A693)-INDEX(FinancialData[Discounts],A693),2)=ROUND(INDEX(FinancialData[ [ Sales] ],A693),2)</f>
        <v>1</v>
      </c>
      <c r="D693" t="b" cm="1">
        <f t="array" ref="D693">ROUND(INDEX(FinancialData[ [ Sales] ],A693)-INDEX(FinancialData[COGS],A693),2)=ROUND(INDEX(FinancialData[Profit],A693),2)</f>
        <v>1</v>
      </c>
    </row>
    <row r="694" spans="1:4" x14ac:dyDescent="0.3">
      <c r="A694">
        <v>693</v>
      </c>
      <c r="B694" t="b">
        <f>ROUND(INDEX(FinancialData[Units Sold],1)*INDEX(FinancialData[Sale Price],1),2)=ROUND(INDEX(FinancialData[Gross Sales],1),2)</f>
        <v>1</v>
      </c>
      <c r="C694" s="12" t="b" cm="1">
        <f t="array" ref="C694">ROUND(INDEX(FinancialData[Gross Sales],A694)-INDEX(FinancialData[Discounts],A694),2)=ROUND(INDEX(FinancialData[ [ Sales] ],A694),2)</f>
        <v>1</v>
      </c>
      <c r="D694" t="b" cm="1">
        <f t="array" ref="D694">ROUND(INDEX(FinancialData[ [ Sales] ],A694)-INDEX(FinancialData[COGS],A694),2)=ROUND(INDEX(FinancialData[Profit],A694),2)</f>
        <v>1</v>
      </c>
    </row>
    <row r="695" spans="1:4" x14ac:dyDescent="0.3">
      <c r="A695">
        <v>694</v>
      </c>
      <c r="B695" t="b">
        <f>ROUND(INDEX(FinancialData[Units Sold],1)*INDEX(FinancialData[Sale Price],1),2)=ROUND(INDEX(FinancialData[Gross Sales],1),2)</f>
        <v>1</v>
      </c>
      <c r="C695" s="12" t="b" cm="1">
        <f t="array" ref="C695">ROUND(INDEX(FinancialData[Gross Sales],A695)-INDEX(FinancialData[Discounts],A695),2)=ROUND(INDEX(FinancialData[ [ Sales] ],A695),2)</f>
        <v>1</v>
      </c>
      <c r="D695" t="b" cm="1">
        <f t="array" ref="D695">ROUND(INDEX(FinancialData[ [ Sales] ],A695)-INDEX(FinancialData[COGS],A695),2)=ROUND(INDEX(FinancialData[Profit],A695),2)</f>
        <v>1</v>
      </c>
    </row>
    <row r="696" spans="1:4" x14ac:dyDescent="0.3">
      <c r="A696">
        <v>695</v>
      </c>
      <c r="B696" t="b">
        <f>ROUND(INDEX(FinancialData[Units Sold],1)*INDEX(FinancialData[Sale Price],1),2)=ROUND(INDEX(FinancialData[Gross Sales],1),2)</f>
        <v>1</v>
      </c>
      <c r="C696" s="12" t="b" cm="1">
        <f t="array" ref="C696">ROUND(INDEX(FinancialData[Gross Sales],A696)-INDEX(FinancialData[Discounts],A696),2)=ROUND(INDEX(FinancialData[ [ Sales] ],A696),2)</f>
        <v>1</v>
      </c>
      <c r="D696" t="b" cm="1">
        <f t="array" ref="D696">ROUND(INDEX(FinancialData[ [ Sales] ],A696)-INDEX(FinancialData[COGS],A696),2)=ROUND(INDEX(FinancialData[Profit],A696),2)</f>
        <v>1</v>
      </c>
    </row>
    <row r="697" spans="1:4" x14ac:dyDescent="0.3">
      <c r="A697">
        <v>696</v>
      </c>
      <c r="B697" t="b">
        <f>ROUND(INDEX(FinancialData[Units Sold],1)*INDEX(FinancialData[Sale Price],1),2)=ROUND(INDEX(FinancialData[Gross Sales],1),2)</f>
        <v>1</v>
      </c>
      <c r="C697" s="12" t="b" cm="1">
        <f t="array" ref="C697">ROUND(INDEX(FinancialData[Gross Sales],A697)-INDEX(FinancialData[Discounts],A697),2)=ROUND(INDEX(FinancialData[ [ Sales] ],A697),2)</f>
        <v>1</v>
      </c>
      <c r="D697" t="b" cm="1">
        <f t="array" ref="D697">ROUND(INDEX(FinancialData[ [ Sales] ],A697)-INDEX(FinancialData[COGS],A697),2)=ROUND(INDEX(FinancialData[Profit],A697),2)</f>
        <v>1</v>
      </c>
    </row>
    <row r="698" spans="1:4" x14ac:dyDescent="0.3">
      <c r="A698">
        <v>697</v>
      </c>
      <c r="B698" t="b">
        <f>ROUND(INDEX(FinancialData[Units Sold],1)*INDEX(FinancialData[Sale Price],1),2)=ROUND(INDEX(FinancialData[Gross Sales],1),2)</f>
        <v>1</v>
      </c>
      <c r="C698" s="12" t="b" cm="1">
        <f t="array" ref="C698">ROUND(INDEX(FinancialData[Gross Sales],A698)-INDEX(FinancialData[Discounts],A698),2)=ROUND(INDEX(FinancialData[ [ Sales] ],A698),2)</f>
        <v>1</v>
      </c>
      <c r="D698" t="b" cm="1">
        <f t="array" ref="D698">ROUND(INDEX(FinancialData[ [ Sales] ],A698)-INDEX(FinancialData[COGS],A698),2)=ROUND(INDEX(FinancialData[Profit],A698),2)</f>
        <v>1</v>
      </c>
    </row>
    <row r="699" spans="1:4" x14ac:dyDescent="0.3">
      <c r="A699">
        <v>698</v>
      </c>
      <c r="B699" t="b">
        <f>ROUND(INDEX(FinancialData[Units Sold],1)*INDEX(FinancialData[Sale Price],1),2)=ROUND(INDEX(FinancialData[Gross Sales],1),2)</f>
        <v>1</v>
      </c>
      <c r="C699" s="12" t="b" cm="1">
        <f t="array" ref="C699">ROUND(INDEX(FinancialData[Gross Sales],A699)-INDEX(FinancialData[Discounts],A699),2)=ROUND(INDEX(FinancialData[ [ Sales] ],A699),2)</f>
        <v>1</v>
      </c>
      <c r="D699" t="b" cm="1">
        <f t="array" ref="D699">ROUND(INDEX(FinancialData[ [ Sales] ],A699)-INDEX(FinancialData[COGS],A699),2)=ROUND(INDEX(FinancialData[Profit],A699),2)</f>
        <v>1</v>
      </c>
    </row>
    <row r="700" spans="1:4" x14ac:dyDescent="0.3">
      <c r="A700">
        <v>699</v>
      </c>
      <c r="B700" t="b">
        <f>ROUND(INDEX(FinancialData[Units Sold],1)*INDEX(FinancialData[Sale Price],1),2)=ROUND(INDEX(FinancialData[Gross Sales],1),2)</f>
        <v>1</v>
      </c>
      <c r="C700" s="12" t="b" cm="1">
        <f t="array" ref="C700">ROUND(INDEX(FinancialData[Gross Sales],A700)-INDEX(FinancialData[Discounts],A700),2)=ROUND(INDEX(FinancialData[ [ Sales] ],A700),2)</f>
        <v>1</v>
      </c>
      <c r="D700" t="b" cm="1">
        <f t="array" ref="D700">ROUND(INDEX(FinancialData[ [ Sales] ],A700)-INDEX(FinancialData[COGS],A700),2)=ROUND(INDEX(FinancialData[Profit],A700),2)</f>
        <v>1</v>
      </c>
    </row>
    <row r="701" spans="1:4" x14ac:dyDescent="0.3">
      <c r="A701">
        <v>700</v>
      </c>
      <c r="B701" t="b">
        <f>ROUND(INDEX(FinancialData[Units Sold],1)*INDEX(FinancialData[Sale Price],1),2)=ROUND(INDEX(FinancialData[Gross Sales],1),2)</f>
        <v>1</v>
      </c>
      <c r="C701" s="12" t="b" cm="1">
        <f t="array" ref="C701">ROUND(INDEX(FinancialData[Gross Sales],A701)-INDEX(FinancialData[Discounts],A701),2)=ROUND(INDEX(FinancialData[ [ Sales] ],A701),2)</f>
        <v>1</v>
      </c>
      <c r="D701" t="b" cm="1">
        <f t="array" ref="D701">ROUND(INDEX(FinancialData[ [ Sales] ],A701)-INDEX(FinancialData[COGS],A701),2)=ROUND(INDEX(FinancialData[Profit],A701),2)</f>
        <v>1</v>
      </c>
    </row>
  </sheetData>
  <autoFilter ref="A1:D701" xr:uid="{3C0E778A-A593-4B7C-9F04-E21B1E6C0DB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DEA4-D612-4EE1-86B3-F3F28A8F5CFA}">
  <dimension ref="A1:K27"/>
  <sheetViews>
    <sheetView tabSelected="1" workbookViewId="0">
      <selection activeCell="K12" sqref="K12"/>
    </sheetView>
  </sheetViews>
  <sheetFormatPr defaultRowHeight="14.4" x14ac:dyDescent="0.3"/>
  <cols>
    <col min="1" max="1" width="40.109375" customWidth="1"/>
    <col min="2" max="2" width="33.88671875" customWidth="1"/>
    <col min="6" max="6" width="17" customWidth="1"/>
    <col min="7" max="7" width="16.109375" bestFit="1" customWidth="1"/>
  </cols>
  <sheetData>
    <row r="1" spans="1:11" x14ac:dyDescent="0.3">
      <c r="A1" t="s">
        <v>62</v>
      </c>
      <c r="B1" t="s">
        <v>63</v>
      </c>
      <c r="F1" t="s">
        <v>72</v>
      </c>
      <c r="G1" s="4">
        <f>MIN(FinancialData[Date])</f>
        <v>41518</v>
      </c>
      <c r="K1">
        <f>SUMIF(FinancialData[Segment],"Channel Partners",FinancialData[Profit])/SUMIF(FinancialData[Segment],"Channel Partners",FinancialData[ [ Sales] ])</f>
        <v>0.73131611194628043</v>
      </c>
    </row>
    <row r="2" spans="1:11" x14ac:dyDescent="0.3">
      <c r="A2" t="s">
        <v>64</v>
      </c>
      <c r="B2">
        <f>ROWS(FinancialData[])</f>
        <v>700</v>
      </c>
      <c r="F2" t="s">
        <v>73</v>
      </c>
      <c r="G2" s="4">
        <f>MAX(FinancialData[Date])</f>
        <v>41974</v>
      </c>
      <c r="K2">
        <f>SUMIF(FinancialData[Segment],"Enterprise",FinancialData[Profit])/SUMIF(FinancialData[Segment],"Enterprise",FinancialData[ [ Sales] ])</f>
        <v>-3.1335672137711455E-2</v>
      </c>
    </row>
    <row r="3" spans="1:11" x14ac:dyDescent="0.3">
      <c r="A3" t="s">
        <v>65</v>
      </c>
      <c r="B3">
        <f>COUNT(_xlfn.UNIQUE(FinancialData[Date]))</f>
        <v>16</v>
      </c>
    </row>
    <row r="4" spans="1:11" x14ac:dyDescent="0.3">
      <c r="A4" t="s">
        <v>66</v>
      </c>
      <c r="B4" cm="1">
        <f t="array" ref="B4">COUNTA(_xlfn.UNIQUE(FinancialData[Product]&amp;"|"&amp;FinancialData[Country]&amp;"|"&amp;FinancialData[Segment]))</f>
        <v>150</v>
      </c>
      <c r="F4" t="s">
        <v>74</v>
      </c>
      <c r="G4" s="4" cm="1">
        <f t="array" ref="G4:G19">_xlfn._xlws.SORT(_xlfn.UNIQUE(FinancialData[Date]))</f>
        <v>41518</v>
      </c>
    </row>
    <row r="5" spans="1:11" x14ac:dyDescent="0.3">
      <c r="A5" t="s">
        <v>67</v>
      </c>
      <c r="B5" cm="1">
        <f t="array" ref="B5">COUNTA(_xlfn.UNIQUE(FinancialData[Product]&amp;"|"&amp;FinancialData[Country]&amp;"|"&amp;FinancialData[Segment]&amp;"|"&amp;FinancialData[Date]))</f>
        <v>660</v>
      </c>
      <c r="G5" s="4">
        <v>41548</v>
      </c>
    </row>
    <row r="6" spans="1:11" x14ac:dyDescent="0.3">
      <c r="A6" t="s">
        <v>68</v>
      </c>
      <c r="B6" cm="1">
        <f t="array" ref="B6">COUNTA(_xlfn.UNIQUE(FinancialData[Product]&amp;"|"&amp;FinancialData[Country]&amp;"|"&amp;FinancialData[Segment]&amp;"|"&amp;FinancialData[Date]&amp;"|"&amp;FinancialData[Discount Band]))</f>
        <v>688</v>
      </c>
      <c r="G6" s="4">
        <v>41579</v>
      </c>
    </row>
    <row r="7" spans="1:11" x14ac:dyDescent="0.3">
      <c r="A7" t="s">
        <v>69</v>
      </c>
      <c r="B7" cm="1">
        <f t="array" ref="B7">COUNTA(_xlfn.UNIQUE(FinancialData[Product]&amp;"|"&amp;FinancialData[Country]&amp;"|"&amp;FinancialData[Segment]&amp;"|"&amp;FinancialData[Date]&amp;"|"&amp;FinancialData[Discount Band]&amp;"|"&amp;FinancialData[Sale Price]))</f>
        <v>700</v>
      </c>
      <c r="G7" s="4">
        <v>41609</v>
      </c>
    </row>
    <row r="8" spans="1:11" x14ac:dyDescent="0.3">
      <c r="G8" s="4">
        <v>41640</v>
      </c>
    </row>
    <row r="9" spans="1:11" x14ac:dyDescent="0.3">
      <c r="G9" s="4">
        <v>41671</v>
      </c>
    </row>
    <row r="10" spans="1:11" x14ac:dyDescent="0.3">
      <c r="A10" t="s">
        <v>70</v>
      </c>
      <c r="B10" t="s">
        <v>71</v>
      </c>
      <c r="G10" s="4">
        <v>41699</v>
      </c>
    </row>
    <row r="11" spans="1:11" x14ac:dyDescent="0.3">
      <c r="A11" t="str" cm="1">
        <f t="array" ref="A11:A26">TRANSPOSE(FinancialData[#Headers])</f>
        <v>Segment</v>
      </c>
      <c r="B11">
        <f ca="1">COUNTA(_xlfn.UNIQUE(INDIRECT("FinancialData["&amp;A11&amp;"]")))</f>
        <v>5</v>
      </c>
      <c r="G11" s="4">
        <v>41730</v>
      </c>
    </row>
    <row r="12" spans="1:11" x14ac:dyDescent="0.3">
      <c r="A12" t="str">
        <v>Country</v>
      </c>
      <c r="B12">
        <f t="shared" ref="B12:B26" ca="1" si="0">COUNTA(_xlfn.UNIQUE(INDIRECT("FinancialData["&amp;A12&amp;"]")))</f>
        <v>5</v>
      </c>
      <c r="G12" s="4">
        <v>41760</v>
      </c>
    </row>
    <row r="13" spans="1:11" x14ac:dyDescent="0.3">
      <c r="A13" t="str">
        <v>Product</v>
      </c>
      <c r="B13">
        <f t="shared" ca="1" si="0"/>
        <v>6</v>
      </c>
      <c r="G13" s="4">
        <v>41791</v>
      </c>
    </row>
    <row r="14" spans="1:11" x14ac:dyDescent="0.3">
      <c r="A14" t="str">
        <v>Discount Band</v>
      </c>
      <c r="B14">
        <f t="shared" ca="1" si="0"/>
        <v>4</v>
      </c>
      <c r="G14" s="4">
        <v>41821</v>
      </c>
    </row>
    <row r="15" spans="1:11" x14ac:dyDescent="0.3">
      <c r="A15" t="str">
        <v>Units Sold</v>
      </c>
      <c r="B15">
        <f t="shared" ca="1" si="0"/>
        <v>510</v>
      </c>
      <c r="G15" s="4">
        <v>41852</v>
      </c>
    </row>
    <row r="16" spans="1:11" x14ac:dyDescent="0.3">
      <c r="A16" t="str">
        <v>Manufacturing Price</v>
      </c>
      <c r="B16">
        <f t="shared" ca="1" si="0"/>
        <v>6</v>
      </c>
      <c r="G16" s="4">
        <v>41883</v>
      </c>
    </row>
    <row r="17" spans="1:7" x14ac:dyDescent="0.3">
      <c r="A17" t="str">
        <v>Sale Price</v>
      </c>
      <c r="B17">
        <f t="shared" ca="1" si="0"/>
        <v>7</v>
      </c>
      <c r="G17" s="4">
        <v>41913</v>
      </c>
    </row>
    <row r="18" spans="1:7" x14ac:dyDescent="0.3">
      <c r="A18" t="str">
        <v>Gross Sales</v>
      </c>
      <c r="B18">
        <f t="shared" ca="1" si="0"/>
        <v>550</v>
      </c>
      <c r="G18" s="4">
        <v>41944</v>
      </c>
    </row>
    <row r="19" spans="1:7" x14ac:dyDescent="0.3">
      <c r="A19" t="str">
        <v>Discounts</v>
      </c>
      <c r="B19">
        <f t="shared" ca="1" si="0"/>
        <v>515</v>
      </c>
      <c r="G19" s="4">
        <v>41974</v>
      </c>
    </row>
    <row r="20" spans="1:7" x14ac:dyDescent="0.3">
      <c r="A20" t="str">
        <v xml:space="preserve"> Sales</v>
      </c>
      <c r="B20">
        <f t="shared" ca="1" si="0"/>
        <v>559</v>
      </c>
    </row>
    <row r="21" spans="1:7" x14ac:dyDescent="0.3">
      <c r="A21" t="str">
        <v>COGS</v>
      </c>
      <c r="B21">
        <f t="shared" ca="1" si="0"/>
        <v>545</v>
      </c>
    </row>
    <row r="22" spans="1:7" x14ac:dyDescent="0.3">
      <c r="A22" t="str">
        <v>Profit</v>
      </c>
      <c r="B22">
        <f t="shared" ca="1" si="0"/>
        <v>557</v>
      </c>
    </row>
    <row r="23" spans="1:7" x14ac:dyDescent="0.3">
      <c r="A23" t="str">
        <v>Date</v>
      </c>
      <c r="B23">
        <f t="shared" ca="1" si="0"/>
        <v>16</v>
      </c>
    </row>
    <row r="24" spans="1:7" x14ac:dyDescent="0.3">
      <c r="A24" t="str">
        <v>Month Number</v>
      </c>
      <c r="B24">
        <f t="shared" ca="1" si="0"/>
        <v>12</v>
      </c>
    </row>
    <row r="25" spans="1:7" x14ac:dyDescent="0.3">
      <c r="A25" t="str">
        <v>Month Name</v>
      </c>
      <c r="B25">
        <f t="shared" ca="1" si="0"/>
        <v>12</v>
      </c>
      <c r="F25" t="s">
        <v>75</v>
      </c>
      <c r="G25" s="14">
        <f>SUM(FinancialData[ [ Sales] ])</f>
        <v>118726350.25999992</v>
      </c>
    </row>
    <row r="26" spans="1:7" x14ac:dyDescent="0.3">
      <c r="A26" t="str">
        <v>Year</v>
      </c>
      <c r="B26">
        <f t="shared" ca="1" si="0"/>
        <v>2</v>
      </c>
      <c r="F26" t="s">
        <v>77</v>
      </c>
      <c r="G26" s="14">
        <f>SUM(FinancialData[Profit])</f>
        <v>16893702.260000009</v>
      </c>
    </row>
    <row r="27" spans="1:7" x14ac:dyDescent="0.3">
      <c r="F27" t="s">
        <v>76</v>
      </c>
      <c r="G27">
        <f>G26/G25</f>
        <v>0.14229109395685402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 Audit</vt:lpstr>
      <vt:lpstr>Financial Consistency</vt:lpstr>
      <vt:lpstr>Grain_Audit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Diva Parekh</cp:lastModifiedBy>
  <dcterms:created xsi:type="dcterms:W3CDTF">2014-01-28T02:45:41Z</dcterms:created>
  <dcterms:modified xsi:type="dcterms:W3CDTF">2026-08-16T18:36:04Z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